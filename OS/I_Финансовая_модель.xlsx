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пользоваться" sheetId="1" state="visible" r:id="rId1"/>
    <sheet name="Вводные" sheetId="2" state="visible" r:id="rId2"/>
    <sheet name="Экономика сделки" sheetId="3" state="visible" r:id="rId3"/>
    <sheet name="Сценарии" sheetId="4" state="visible" r:id="rId4"/>
    <sheet name="Движение денег" sheetId="5" state="visible" r:id="rId5"/>
    <sheet name="Каналы" sheetId="6" state="visible" r:id="rId6"/>
    <sheet name="План-факт" sheetId="7" state="visible" r:id="rId7"/>
    <sheet name="Что заменить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₽&quot;;(#,##0 &quot;₽&quot;);&quot;-&quot;"/>
    <numFmt numFmtId="165" formatCode="0.0%;(0.0%);&quot;-&quot;"/>
    <numFmt numFmtId="166" formatCode="#,##0.0;(#,##0.0)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i val="1"/>
      <sz val="10"/>
    </font>
    <font>
      <name val="Arial"/>
      <color theme="1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DD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7" fillId="0" borderId="0" pivotButton="0" quotePrefix="0" xfId="0"/>
    <xf numFmtId="0" fontId="3" fillId="3" borderId="0" applyAlignment="1" pivotButton="0" quotePrefix="0" xfId="0">
      <alignment vertical="top" wrapText="1"/>
    </xf>
    <xf numFmtId="164" fontId="4" fillId="2" borderId="0" pivotButton="0" quotePrefix="0" xfId="0"/>
    <xf numFmtId="165" fontId="4" fillId="2" borderId="0" pivotButton="0" quotePrefix="0" xfId="0"/>
    <xf numFmtId="1" fontId="4" fillId="2" borderId="0" pivotButton="0" quotePrefix="0" xfId="0"/>
    <xf numFmtId="164" fontId="4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0" fontId="3" fillId="3" borderId="0" pivotButton="0" quotePrefix="0" xfId="0"/>
    <xf numFmtId="1" fontId="2" fillId="0" borderId="0" pivotButton="0" quotePrefix="0" xfId="0"/>
    <xf numFmtId="165" fontId="2" fillId="0" borderId="0" pivotButton="0" quotePrefix="0" xfId="0"/>
    <xf numFmtId="0" fontId="4" fillId="2" borderId="0" pivotButton="0" quotePrefix="0" xfId="0"/>
    <xf numFmtId="164" fontId="5" fillId="0" borderId="0" pivotButton="0" quotePrefix="0" xfId="0"/>
    <xf numFmtId="166" fontId="2" fillId="0" borderId="0" pivotButton="0" quotePrefix="0" xfId="0"/>
    <xf numFmtId="49" fontId="2" fillId="0" borderId="0" pivotButton="0" quotePrefix="0" xfId="0"/>
    <xf numFmtId="0" fontId="4" fillId="0" borderId="0" pivotButton="0" quotePrefix="0" xfId="0"/>
    <xf numFmtId="164" fontId="7" fillId="0" borderId="0" pivotButton="0" quotePrefix="0" xfId="0"/>
    <xf numFmtId="166" fontId="7" fillId="0" borderId="0" pivotButton="0" quotePrefix="0" xfId="0"/>
    <xf numFmtId="0" fontId="6" fillId="0" borderId="0" pivotButton="0" quotePrefix="0" xfId="0"/>
    <xf numFmtId="1" fontId="7" fillId="0" borderId="0" pivotButton="0" quotePrefix="0" xfId="0"/>
    <xf numFmtId="166" fontId="5" fillId="0" borderId="0" pivotButton="0" quotePrefix="0" xfId="0"/>
    <xf numFmtId="166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I. Финансовая модель «Мегаполис» — ОС v1.0, 26.09.2026</t>
        </is>
      </c>
    </row>
    <row r="2">
      <c r="A2" s="2" t="inlineStr"/>
    </row>
    <row r="3">
      <c r="A3" s="2" t="inlineStr">
        <is>
          <t>Что это: простая модель денег агентства. Все расчёты — формулы от листа «Вводные».</t>
        </is>
      </c>
    </row>
    <row r="4">
      <c r="A4" s="2" t="inlineStr">
        <is>
          <t>Синий текст — введённые значения. Чёрный — формулы. Зелёный — ссылки на другой лист.</t>
        </is>
      </c>
    </row>
    <row r="5">
      <c r="A5" s="3" t="inlineStr">
        <is>
          <t>Жёлтая заливка — допущение или сценарий: ЗАМЕНИТЬ фактом, как только он появится (список — лист «Что заменить»).</t>
        </is>
      </c>
    </row>
    <row r="6">
      <c r="A6" s="2" t="inlineStr">
        <is>
          <t>Статусы значений: ФАКТ (из брифа или документа) · ОЦЕНКА М (слова Марии) · БЕНЧМАРК (чужой кейс с источником) · ДОПУЩЕНИЕ ОС (цифра для расчёта, не факт).</t>
        </is>
      </c>
    </row>
    <row r="7">
      <c r="A7" s="2" t="inlineStr"/>
    </row>
    <row r="8">
      <c r="A8" s="2" t="inlineStr">
        <is>
          <t>Листы:</t>
        </is>
      </c>
    </row>
    <row r="9">
      <c r="A9" s="2" t="inlineStr">
        <is>
          <t xml:space="preserve">  Вводные — все параметры в одном месте, со статусом и источником.</t>
        </is>
      </c>
    </row>
    <row r="10">
      <c r="A10" s="2" t="inlineStr">
        <is>
          <t xml:space="preserve">  Экономика сделки — сколько остаётся с одной сделки и сколько стоит сделка через платный канал.</t>
        </is>
      </c>
    </row>
    <row r="11">
      <c r="A11" s="2" t="inlineStr">
        <is>
          <t xml:space="preserve">  Сценарии — год при пессимистичных, базовых и оптимистичных конверсиях. Это СЦЕНАРИИ, не прогноз.</t>
        </is>
      </c>
    </row>
    <row r="12">
      <c r="A12" s="2" t="inlineStr">
        <is>
          <t xml:space="preserve">  Движение денег — 12 месяцев: остаток, расходы, выплаты комиссий с задержкой. Сценарий выбирается в «Вводных» (ячейка B30).</t>
        </is>
      </c>
    </row>
    <row r="13">
      <c r="A13" s="2" t="inlineStr">
        <is>
          <t xml:space="preserve">  Каналы — еженедельный учёт расходов и лидов по каналам (заполнять из CRM).</t>
        </is>
      </c>
    </row>
    <row r="14">
      <c r="A14" s="2" t="inlineStr">
        <is>
          <t xml:space="preserve">  План-факт — сравнение месяца с планом.</t>
        </is>
      </c>
    </row>
    <row r="15">
      <c r="A15" s="2" t="inlineStr">
        <is>
          <t xml:space="preserve">  Что заменить — какие цифры неизвестны, где их взять и кто отвечает.</t>
        </is>
      </c>
    </row>
    <row r="16">
      <c r="A16" s="2" t="inlineStr"/>
    </row>
    <row r="17">
      <c r="A17" s="2" t="inlineStr">
        <is>
          <t>Правило: до 20 реальных лидов конверсии в модели — сценарии. Решения о тратах принимаются по стоп-критериям, а не по модели.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16" customWidth="1" min="4" max="4"/>
    <col width="90" customWidth="1" min="5" max="5"/>
    <col width="14" customWidth="1" min="6" max="6"/>
  </cols>
  <sheetData>
    <row r="1">
      <c r="A1" s="1" t="inlineStr">
        <is>
          <t>Вводные параметры</t>
        </is>
      </c>
      <c r="B1" s="4" t="n"/>
      <c r="C1" s="4" t="n"/>
      <c r="D1" s="4" t="n"/>
      <c r="E1" s="4" t="n"/>
      <c r="F1" s="4" t="n"/>
    </row>
    <row r="2">
      <c r="A2" s="4" t="n"/>
      <c r="B2" s="4" t="n"/>
      <c r="C2" s="4" t="n"/>
      <c r="D2" s="4" t="n"/>
      <c r="E2" s="4" t="n"/>
      <c r="F2" s="4" t="n"/>
    </row>
    <row r="3">
      <c r="A3" s="5" t="inlineStr">
        <is>
          <t>Параметр</t>
        </is>
      </c>
      <c r="B3" s="5" t="inlineStr">
        <is>
          <t>Значение</t>
        </is>
      </c>
      <c r="C3" s="5" t="inlineStr">
        <is>
          <t>Ед.</t>
        </is>
      </c>
      <c r="D3" s="5" t="inlineStr">
        <is>
          <t>Статус</t>
        </is>
      </c>
      <c r="E3" s="5" t="inlineStr">
        <is>
          <t>Источник / комментарий</t>
        </is>
      </c>
      <c r="F3" s="4" t="n"/>
    </row>
    <row r="4">
      <c r="A4" s="2" t="inlineStr">
        <is>
          <t>Комиссия агентства с одной сделки</t>
        </is>
      </c>
      <c r="B4" s="6" t="n">
        <v>1000000</v>
      </c>
      <c r="C4" s="2" t="inlineStr">
        <is>
          <t>₽</t>
        </is>
      </c>
      <c r="D4" s="2" t="inlineStr">
        <is>
          <t>ОЦЕНКА М</t>
        </is>
      </c>
      <c r="E4" s="2" t="inlineStr">
        <is>
          <t>Бриф бизнеса, 24.09.2026. % и сроки по застройщикам неизвестны (J-05)</t>
        </is>
      </c>
      <c r="F4" s="4" t="n"/>
    </row>
    <row r="5">
      <c r="A5" s="2" t="inlineStr">
        <is>
          <t>Налог ИП, доля от дохода</t>
        </is>
      </c>
      <c r="B5" s="7" t="n">
        <v>0.06</v>
      </c>
      <c r="C5" s="2" t="inlineStr">
        <is>
          <t>%</t>
        </is>
      </c>
      <c r="D5" s="2" t="inlineStr">
        <is>
          <t>ДОПУЩЕНИЕ ОС</t>
        </is>
      </c>
      <c r="E5" s="2" t="inlineStr">
        <is>
          <t>Предполагается УСН «доходы» — проверить у бухгалтера (J-10)</t>
        </is>
      </c>
      <c r="F5" s="4" t="n"/>
    </row>
    <row r="6">
      <c r="A6" s="2" t="inlineStr">
        <is>
          <t>Юрист-партнёр на сделку</t>
        </is>
      </c>
      <c r="B6" s="6" t="n">
        <v>30000</v>
      </c>
      <c r="C6" s="2" t="inlineStr">
        <is>
          <t>₽ за сделку</t>
        </is>
      </c>
      <c r="D6" s="2" t="inlineStr">
        <is>
          <t>ДОПУЩЕНИЕ ОС</t>
        </is>
      </c>
      <c r="E6" s="2" t="inlineStr">
        <is>
          <t>Заменить ценой найденного юриста (J-09)</t>
        </is>
      </c>
      <c r="F6" s="4" t="n"/>
    </row>
    <row r="7">
      <c r="A7" s="2" t="inlineStr">
        <is>
          <t>Вознаграждение за рекомендацию партнёру</t>
        </is>
      </c>
      <c r="B7" s="6" t="n">
        <v>0</v>
      </c>
      <c r="C7" s="2" t="inlineStr">
        <is>
          <t>₽ за сделку</t>
        </is>
      </c>
      <c r="D7" s="2" t="inlineStr">
        <is>
          <t>ДОПУЩЕНИЕ ОС</t>
        </is>
      </c>
      <c r="E7" s="2" t="inlineStr">
        <is>
          <t>По договорённости с партнёрами (D, шаг 1.2)</t>
        </is>
      </c>
      <c r="F7" s="4" t="n"/>
    </row>
    <row r="8">
      <c r="A8" s="2" t="inlineStr">
        <is>
          <t>Задержка выплаты комиссии после брони</t>
        </is>
      </c>
      <c r="B8" s="8" t="n">
        <v>3</v>
      </c>
      <c r="C8" s="2" t="inlineStr">
        <is>
          <t>мес.</t>
        </is>
      </c>
      <c r="D8" s="2" t="inlineStr">
        <is>
          <t>ДОПУЩЕНИЕ ОС</t>
        </is>
      </c>
      <c r="E8" s="2" t="inlineStr">
        <is>
          <t>Срок бронь → ДДУ → регистрация → выплата. Узнать у TrendAgent и Flat (J-05)</t>
        </is>
      </c>
      <c r="F8" s="4" t="n"/>
    </row>
    <row r="9">
      <c r="A9" s="2" t="inlineStr">
        <is>
          <t>Стартовый капитал (кредит)</t>
        </is>
      </c>
      <c r="B9" s="9" t="n">
        <v>100000</v>
      </c>
      <c r="C9" s="2" t="inlineStr">
        <is>
          <t>₽</t>
        </is>
      </c>
      <c r="D9" s="2" t="inlineStr">
        <is>
          <t>ФАКТ</t>
        </is>
      </c>
      <c r="E9" s="2" t="inlineStr">
        <is>
          <t>Бриф бизнеса, 24.09.2026</t>
        </is>
      </c>
      <c r="F9" s="4" t="n"/>
    </row>
    <row r="10">
      <c r="A10" s="2" t="inlineStr">
        <is>
          <t>Лимит платных тестов на 90 дней</t>
        </is>
      </c>
      <c r="B10" s="6" t="n">
        <v>50000</v>
      </c>
      <c r="C10" s="2" t="inlineStr">
        <is>
          <t>₽</t>
        </is>
      </c>
      <c r="D10" s="2" t="inlineStr">
        <is>
          <t>ДОПУЩЕНИЕ ОС</t>
        </is>
      </c>
      <c r="E10" s="2" t="inlineStr">
        <is>
          <t>Предложение ОС, решение J-03</t>
        </is>
      </c>
      <c r="F10" s="4" t="n"/>
    </row>
    <row r="11">
      <c r="A11" s="2" t="inlineStr">
        <is>
          <t>Платный бюджет в месяц после 90 дней</t>
        </is>
      </c>
      <c r="B11" s="6" t="n">
        <v>0</v>
      </c>
      <c r="C11" s="2" t="inlineStr">
        <is>
          <t>₽/мес.</t>
        </is>
      </c>
      <c r="D11" s="2" t="inlineStr">
        <is>
          <t>ДОПУЩЕНИЕ ОС</t>
        </is>
      </c>
      <c r="E11" s="2" t="inlineStr">
        <is>
          <t>0 до первой выплаты комиссии: иначе кассовый разрыв (см. «Движение денег»). После выплаты — решение М из комиссии (C, Г5)</t>
        </is>
      </c>
      <c r="F11" s="4" t="n"/>
    </row>
    <row r="12">
      <c r="A12" s="4" t="n"/>
      <c r="B12" s="4" t="n"/>
      <c r="C12" s="4" t="n"/>
      <c r="D12" s="4" t="n"/>
      <c r="E12" s="4" t="n"/>
      <c r="F12" s="4" t="n"/>
    </row>
    <row r="13">
      <c r="A13" s="10" t="inlineStr">
        <is>
          <t>Постоянные расходы в месяц</t>
        </is>
      </c>
      <c r="B13" s="4" t="n"/>
      <c r="C13" s="4" t="n"/>
      <c r="D13" s="4" t="n"/>
      <c r="E13" s="4" t="n"/>
      <c r="F13" s="4" t="n"/>
    </row>
    <row r="14">
      <c r="A14" s="2" t="inlineStr">
        <is>
          <t xml:space="preserve">  AI-подписки (Claude, Perplexity, NotebookLM, Gemini)</t>
        </is>
      </c>
      <c r="B14" s="6" t="n">
        <v>8000</v>
      </c>
      <c r="C14" s="2" t="inlineStr">
        <is>
          <t>₽/мес.</t>
        </is>
      </c>
      <c r="D14" s="2" t="inlineStr">
        <is>
          <t>ДОПУЩЕНИЕ ОС</t>
        </is>
      </c>
      <c r="E14" s="2" t="inlineStr">
        <is>
          <t>Заменить суммой из выписки</t>
        </is>
      </c>
      <c r="F14" s="4" t="n"/>
    </row>
    <row r="15">
      <c r="A15" s="2" t="inlineStr">
        <is>
          <t xml:space="preserve">  Связь, номер, домен, лендинг</t>
        </is>
      </c>
      <c r="B15" s="6" t="n">
        <v>2000</v>
      </c>
      <c r="C15" s="2" t="inlineStr">
        <is>
          <t>₽/мес.</t>
        </is>
      </c>
      <c r="D15" s="2" t="inlineStr">
        <is>
          <t>ДОПУЩЕНИЕ ОС</t>
        </is>
      </c>
      <c r="E15" s="2" t="inlineStr">
        <is>
          <t>Заменить фактом</t>
        </is>
      </c>
      <c r="F15" s="4" t="n"/>
    </row>
    <row r="16">
      <c r="A16" s="2" t="inlineStr">
        <is>
          <t xml:space="preserve">  Тариф Авито для недвижимости</t>
        </is>
      </c>
      <c r="B16" s="6" t="n">
        <v>5000</v>
      </c>
      <c r="C16" s="2" t="inlineStr">
        <is>
          <t>₽/мес.</t>
        </is>
      </c>
      <c r="D16" s="2" t="inlineStr">
        <is>
          <t>ДОПУЩЕНИЕ ОС</t>
        </is>
      </c>
      <c r="E16" s="2" t="inlineStr">
        <is>
          <t>Узнать в кабинете Авито (J-13)</t>
        </is>
      </c>
      <c r="F16" s="4" t="n"/>
    </row>
    <row r="17">
      <c r="A17" s="2" t="inlineStr">
        <is>
          <t xml:space="preserve">  Прочее (поездки на показы и т. п.)</t>
        </is>
      </c>
      <c r="B17" s="6" t="n">
        <v>5000</v>
      </c>
      <c r="C17" s="2" t="inlineStr">
        <is>
          <t>₽/мес.</t>
        </is>
      </c>
      <c r="D17" s="2" t="inlineStr">
        <is>
          <t>ДОПУЩЕНИЕ ОС</t>
        </is>
      </c>
      <c r="E17" s="2" t="inlineStr">
        <is>
          <t>Заменить фактом</t>
        </is>
      </c>
      <c r="F17" s="4" t="n"/>
    </row>
    <row r="18">
      <c r="A18" s="2" t="inlineStr">
        <is>
          <t xml:space="preserve">  Итого постоянные</t>
        </is>
      </c>
      <c r="B18" s="11">
        <f>SUM(B14:B17)</f>
        <v/>
      </c>
      <c r="C18" s="2" t="inlineStr">
        <is>
          <t>₽/мес.</t>
        </is>
      </c>
      <c r="D18" s="2" t="inlineStr">
        <is>
          <t>ФОРМУЛА</t>
        </is>
      </c>
      <c r="E18" s="2" t="inlineStr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10" t="inlineStr">
        <is>
          <t>Сценарии конверсий</t>
        </is>
      </c>
      <c r="B20" s="4" t="n"/>
      <c r="C20" s="4" t="n"/>
      <c r="D20" s="4" t="n"/>
      <c r="E20" s="4" t="n"/>
      <c r="F20" s="4" t="n"/>
    </row>
    <row r="21">
      <c r="A21" s="5" t="inlineStr">
        <is>
          <t>Показатель (сценарий, не факт)</t>
        </is>
      </c>
      <c r="B21" s="5" t="inlineStr">
        <is>
          <t>Пессимистичный</t>
        </is>
      </c>
      <c r="C21" s="5" t="inlineStr">
        <is>
          <t>Базовый</t>
        </is>
      </c>
      <c r="D21" s="5" t="inlineStr">
        <is>
          <t>Оптимистичный</t>
        </is>
      </c>
      <c r="E21" s="5" t="inlineStr">
        <is>
          <t>Источник / комментарий</t>
        </is>
      </c>
      <c r="F21" s="12" t="inlineStr">
        <is>
          <t>Выбранный</t>
        </is>
      </c>
    </row>
    <row r="22">
      <c r="A22" s="2" t="inlineStr">
        <is>
          <t>Квалифицированных лидов в месяц из бесплатных каналов (сеть, партнёры, Telegram, Авито-объявления)</t>
        </is>
      </c>
      <c r="B22" s="8" t="n">
        <v>2</v>
      </c>
      <c r="C22" s="8" t="n">
        <v>4</v>
      </c>
      <c r="D22" s="8" t="n">
        <v>8</v>
      </c>
      <c r="E22" s="2" t="inlineStr">
        <is>
          <t>ДОПУЩЕНИЕ ОС. Заменить фактом CRM после 2 месяцев</t>
        </is>
      </c>
      <c r="F22" s="13">
        <f>INDEX(B22:D22,1,$B$30)</f>
        <v/>
      </c>
    </row>
    <row r="23">
      <c r="A23" s="2" t="inlineStr">
        <is>
          <t>Стоимость квалифицированного лида в платном канале</t>
        </is>
      </c>
      <c r="B23" s="6" t="n">
        <v>13300</v>
      </c>
      <c r="C23" s="6" t="n">
        <v>9600</v>
      </c>
      <c r="D23" s="6" t="n">
        <v>6300</v>
      </c>
      <c r="E23" s="2" t="inlineStr">
        <is>
          <t>БЕНЧМАРК: кейс ЖК «Режиссер», Краснодар (застройщик, не агентство): 13,3 / 9,6 (среднее) / 6,3 тыс. ₽ [AdIndex, 06.03.2026]. Для Москвы и премиума не проверено</t>
        </is>
      </c>
      <c r="F23" s="11">
        <f>INDEX(B23:D23,1,$B$30)</f>
        <v/>
      </c>
    </row>
    <row r="24">
      <c r="A24" s="2" t="inlineStr">
        <is>
          <t>Доля квалифицированных, дошедших до диагностики</t>
        </is>
      </c>
      <c r="B24" s="7" t="n">
        <v>0.3</v>
      </c>
      <c r="C24" s="7" t="n">
        <v>0.45</v>
      </c>
      <c r="D24" s="7" t="n">
        <v>0.6</v>
      </c>
      <c r="E24" s="2" t="inlineStr">
        <is>
          <t>ДОПУЩЕНИЕ ОС. Заменить фактом CRM после 20 лидов</t>
        </is>
      </c>
      <c r="F24" s="14">
        <f>INDEX(B24:D24,1,$B$30)</f>
        <v/>
      </c>
    </row>
    <row r="25">
      <c r="A25" s="2" t="inlineStr">
        <is>
          <t>Доля диагностик, дошедших до сделки</t>
        </is>
      </c>
      <c r="B25" s="7" t="n">
        <v>0.05</v>
      </c>
      <c r="C25" s="7" t="n">
        <v>0.1</v>
      </c>
      <c r="D25" s="7" t="n">
        <v>0.15</v>
      </c>
      <c r="E25" s="2" t="inlineStr">
        <is>
          <t>ДОПУЩЕНИЕ ОС. Заменить фактом CRM</t>
        </is>
      </c>
      <c r="F25" s="14">
        <f>INDEX(B25:D25,1,$B$30)</f>
        <v/>
      </c>
    </row>
    <row r="26">
      <c r="A26" s="2" t="inlineStr">
        <is>
          <t>Месяц первой брони (от старта)</t>
        </is>
      </c>
      <c r="B26" s="8" t="n">
        <v>4</v>
      </c>
      <c r="C26" s="8" t="n">
        <v>3</v>
      </c>
      <c r="D26" s="8" t="n">
        <v>2</v>
      </c>
      <c r="E26" s="2" t="inlineStr">
        <is>
          <t>ДОПУЩЕНИЕ ОС. Связано с D (этап 3 — дни 61–90)</t>
        </is>
      </c>
      <c r="F26" s="13">
        <f>INDEX(B26:D26,1,$B$30)</f>
        <v/>
      </c>
    </row>
    <row r="27">
      <c r="A27" s="4" t="n"/>
      <c r="B27" s="4" t="n"/>
      <c r="C27" s="4" t="n"/>
      <c r="D27" s="4" t="n"/>
      <c r="E27" s="4" t="n"/>
      <c r="F27" s="4" t="n"/>
    </row>
    <row r="28">
      <c r="A28" s="10" t="inlineStr">
        <is>
          <t>Выбор сценария для листа «Движение денег»</t>
        </is>
      </c>
      <c r="B28" s="4" t="n"/>
      <c r="C28" s="4" t="n"/>
      <c r="D28" s="4" t="n"/>
      <c r="E28" s="4" t="n"/>
      <c r="F28" s="4" t="n"/>
    </row>
    <row r="29">
      <c r="A29" s="4" t="n"/>
      <c r="B29" s="4" t="n"/>
      <c r="C29" s="4" t="n"/>
      <c r="D29" s="4" t="n"/>
      <c r="E29" s="4" t="n"/>
      <c r="F29" s="4" t="n"/>
    </row>
    <row r="30">
      <c r="A30" s="2" t="inlineStr">
        <is>
          <t>Сценарий (1 — пессимистичный, 2 — базовый, 3 — оптимистичный)</t>
        </is>
      </c>
      <c r="B30" s="15" t="n">
        <v>2</v>
      </c>
      <c r="C30" s="4" t="n"/>
      <c r="D30" s="4" t="n"/>
      <c r="E30" s="4" t="n"/>
      <c r="F30" s="4" t="n"/>
    </row>
  </sheetData>
  <dataValidations count="1">
    <dataValidation sqref="B30" showDropDown="0" showInputMessage="0" showErrorMessage="0" allowBlank="0" type="whole" operator="between">
      <formula1>1</formula1>
      <formula2>3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8" customWidth="1" min="3" max="3"/>
    <col width="18" customWidth="1" min="4" max="4"/>
    <col width="70" customWidth="1" min="5" max="5"/>
  </cols>
  <sheetData>
    <row r="1">
      <c r="A1" s="1" t="inlineStr">
        <is>
          <t>Экономика одной сделки и платного канала</t>
        </is>
      </c>
      <c r="B1" s="4" t="n"/>
      <c r="C1" s="4" t="n"/>
      <c r="D1" s="4" t="n"/>
      <c r="E1" s="4" t="n"/>
    </row>
    <row r="2">
      <c r="A2" s="4" t="n"/>
      <c r="B2" s="4" t="n"/>
      <c r="C2" s="4" t="n"/>
      <c r="D2" s="4" t="n"/>
      <c r="E2" s="4" t="n"/>
    </row>
    <row r="3">
      <c r="A3" s="5" t="inlineStr">
        <is>
          <t>Показатель</t>
        </is>
      </c>
      <c r="B3" s="5" t="inlineStr">
        <is>
          <t>Пессимистичный</t>
        </is>
      </c>
      <c r="C3" s="5" t="inlineStr">
        <is>
          <t>Базовый</t>
        </is>
      </c>
      <c r="D3" s="5" t="inlineStr">
        <is>
          <t>Оптимистичный</t>
        </is>
      </c>
      <c r="E3" s="5" t="inlineStr">
        <is>
          <t>Как считается</t>
        </is>
      </c>
    </row>
    <row r="4">
      <c r="A4" s="2" t="inlineStr">
        <is>
          <t>Комиссия</t>
        </is>
      </c>
      <c r="B4" s="16">
        <f>Вводные!$B$4</f>
        <v/>
      </c>
      <c r="C4" s="16">
        <f>Вводные!$B$4</f>
        <v/>
      </c>
      <c r="D4" s="16">
        <f>Вводные!$B$4</f>
        <v/>
      </c>
      <c r="E4" s="2" t="inlineStr">
        <is>
          <t>Вводные B4</t>
        </is>
      </c>
    </row>
    <row r="5">
      <c r="A5" s="2" t="inlineStr">
        <is>
          <t>Налог</t>
        </is>
      </c>
      <c r="B5" s="11">
        <f>-B4*Вводные!$B$5</f>
        <v/>
      </c>
      <c r="C5" s="11">
        <f>-C4*Вводные!$B$5</f>
        <v/>
      </c>
      <c r="D5" s="11">
        <f>-D4*Вводные!$B$5</f>
        <v/>
      </c>
      <c r="E5" s="2" t="inlineStr">
        <is>
          <t>Комиссия × налог</t>
        </is>
      </c>
    </row>
    <row r="6">
      <c r="A6" s="2" t="inlineStr">
        <is>
          <t>Юрист-партнёр</t>
        </is>
      </c>
      <c r="B6" s="16">
        <f>-Вводные!$B$6</f>
        <v/>
      </c>
      <c r="C6" s="16">
        <f>-Вводные!$B$6</f>
        <v/>
      </c>
      <c r="D6" s="16">
        <f>-Вводные!$B$6</f>
        <v/>
      </c>
      <c r="E6" s="2" t="inlineStr">
        <is>
          <t>Вводные B6</t>
        </is>
      </c>
    </row>
    <row r="7">
      <c r="A7" s="2" t="inlineStr">
        <is>
          <t>Вознаграждение партнёру за рекомендацию</t>
        </is>
      </c>
      <c r="B7" s="16">
        <f>-Вводные!$B$7</f>
        <v/>
      </c>
      <c r="C7" s="16">
        <f>-Вводные!$B$7</f>
        <v/>
      </c>
      <c r="D7" s="16">
        <f>-Вводные!$B$7</f>
        <v/>
      </c>
      <c r="E7" s="2" t="inlineStr">
        <is>
          <t>Вводные B7</t>
        </is>
      </c>
    </row>
    <row r="8">
      <c r="A8" s="10" t="inlineStr">
        <is>
          <t>Остаётся с одной сделки (до маркетинга)</t>
        </is>
      </c>
      <c r="B8" s="11">
        <f>SUM(B4:B7)</f>
        <v/>
      </c>
      <c r="C8" s="11">
        <f>SUM(C4:C7)</f>
        <v/>
      </c>
      <c r="D8" s="11">
        <f>SUM(D4:D7)</f>
        <v/>
      </c>
      <c r="E8" s="2" t="inlineStr">
        <is>
          <t>Сумма строк 4–7</t>
        </is>
      </c>
    </row>
    <row r="9">
      <c r="A9" s="4" t="n"/>
      <c r="B9" s="4" t="n"/>
      <c r="C9" s="4" t="n"/>
      <c r="D9" s="4" t="n"/>
      <c r="E9" s="4" t="n"/>
    </row>
    <row r="10">
      <c r="A10" s="2" t="inlineStr">
        <is>
          <t>Стоимость квалифицированного лида (платный канал)</t>
        </is>
      </c>
      <c r="B10" s="16">
        <f>Вводные!B23</f>
        <v/>
      </c>
      <c r="C10" s="16">
        <f>Вводные!C23</f>
        <v/>
      </c>
      <c r="D10" s="16">
        <f>Вводные!D23</f>
        <v/>
      </c>
      <c r="E10" s="2" t="inlineStr">
        <is>
          <t>Сценарий</t>
        </is>
      </c>
    </row>
    <row r="11">
      <c r="A11" s="2" t="inlineStr">
        <is>
          <t>Квалифицированных лидов на одну сделку</t>
        </is>
      </c>
      <c r="B11" s="17">
        <f>IFERROR(1/(Вводные!B24*Вводные!B25),0)</f>
        <v/>
      </c>
      <c r="C11" s="17">
        <f>IFERROR(1/(Вводные!C24*Вводные!C25),0)</f>
        <v/>
      </c>
      <c r="D11" s="17">
        <f>IFERROR(1/(Вводные!D24*Вводные!D25),0)</f>
        <v/>
      </c>
      <c r="E11" s="2" t="inlineStr">
        <is>
          <t>1 / (доля до диагностики × доля до сделки)</t>
        </is>
      </c>
    </row>
    <row r="12">
      <c r="A12" s="2" t="inlineStr">
        <is>
          <t>Стоимость привлечения одной сделки через платный канал</t>
        </is>
      </c>
      <c r="B12" s="11">
        <f>B10*B11</f>
        <v/>
      </c>
      <c r="C12" s="11">
        <f>C10*C11</f>
        <v/>
      </c>
      <c r="D12" s="11">
        <f>D10*D11</f>
        <v/>
      </c>
      <c r="E12" s="2" t="inlineStr">
        <is>
          <t>Стоимость лида × лидов на сделку</t>
        </is>
      </c>
    </row>
    <row r="13">
      <c r="A13" s="10" t="inlineStr">
        <is>
          <t>Остаётся с платной сделки</t>
        </is>
      </c>
      <c r="B13" s="11">
        <f>B8-B12</f>
        <v/>
      </c>
      <c r="C13" s="11">
        <f>C8-C12</f>
        <v/>
      </c>
      <c r="D13" s="11">
        <f>D8-D12</f>
        <v/>
      </c>
      <c r="E13" s="2" t="inlineStr">
        <is>
          <t>Строка 8 − строка 12</t>
        </is>
      </c>
    </row>
    <row r="14">
      <c r="A14" s="2" t="inlineStr">
        <is>
          <t>Доля маркетинга в комиссии</t>
        </is>
      </c>
      <c r="B14" s="14">
        <f>IFERROR(B12/B4,0)</f>
        <v/>
      </c>
      <c r="C14" s="14">
        <f>IFERROR(C12/C4,0)</f>
        <v/>
      </c>
      <c r="D14" s="14">
        <f>IFERROR(D12/D4,0)</f>
        <v/>
      </c>
      <c r="E14" s="2" t="inlineStr">
        <is>
          <t>Строка 12 / комиссия</t>
        </is>
      </c>
    </row>
    <row r="15">
      <c r="A15" s="4" t="n"/>
      <c r="B15" s="4" t="n"/>
      <c r="C15" s="4" t="n"/>
      <c r="D15" s="4" t="n"/>
      <c r="E15" s="4" t="n"/>
    </row>
    <row r="16">
      <c r="A16" s="2" t="inlineStr">
        <is>
          <t>Максимальная стоимость квал. лида, при которой маркетинг ≤ 20% комиссии (ориентир для стоп-критерия)</t>
        </is>
      </c>
      <c r="B16" s="11">
        <f>IFERROR(0.2*B4/B11,0)</f>
        <v/>
      </c>
      <c r="C16" s="11">
        <f>IFERROR(0.2*C4/C11,0)</f>
        <v/>
      </c>
      <c r="D16" s="11">
        <f>IFERROR(0.2*D4/D11,0)</f>
        <v/>
      </c>
      <c r="E16" s="2" t="inlineStr">
        <is>
          <t>20% × комиссия / лидов на сделку. Порог 20% — ДОПУЩЕНИЕ ОС, решает М (J-03)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  <col width="60" customWidth="1" min="5" max="5"/>
  </cols>
  <sheetData>
    <row r="1">
      <c r="A1" s="1" t="inlineStr">
        <is>
          <t>Год при разных конверсиях (СЦЕНАРИИ, не прогноз)</t>
        </is>
      </c>
      <c r="B1" s="4" t="n"/>
      <c r="C1" s="4" t="n"/>
      <c r="D1" s="4" t="n"/>
      <c r="E1" s="4" t="n"/>
    </row>
    <row r="2">
      <c r="A2" s="4" t="n"/>
      <c r="B2" s="4" t="n"/>
      <c r="C2" s="4" t="n"/>
      <c r="D2" s="4" t="n"/>
      <c r="E2" s="4" t="n"/>
    </row>
    <row r="3">
      <c r="A3" s="5" t="inlineStr">
        <is>
          <t>Показатель за 12 месяцев</t>
        </is>
      </c>
      <c r="B3" s="5" t="inlineStr">
        <is>
          <t>Пессимистичный</t>
        </is>
      </c>
      <c r="C3" s="5" t="inlineStr">
        <is>
          <t>Базовый</t>
        </is>
      </c>
      <c r="D3" s="5" t="inlineStr">
        <is>
          <t>Оптимистичный</t>
        </is>
      </c>
      <c r="E3" s="5" t="inlineStr">
        <is>
          <t>Как считается</t>
        </is>
      </c>
    </row>
    <row r="4">
      <c r="A4" s="2" t="inlineStr">
        <is>
          <t>Платный бюджет за год</t>
        </is>
      </c>
      <c r="B4" s="16">
        <f>Вводные!$B$10+9*Вводные!$B$11</f>
        <v/>
      </c>
      <c r="C4" s="16">
        <f>Вводные!$B$10+9*Вводные!$B$11</f>
        <v/>
      </c>
      <c r="D4" s="16">
        <f>Вводные!$B$10+9*Вводные!$B$11</f>
        <v/>
      </c>
      <c r="E4" s="2" t="inlineStr">
        <is>
          <t>Тест 90 дней + 9 мес. × месячный бюджет</t>
        </is>
      </c>
    </row>
    <row r="5">
      <c r="A5" s="2" t="inlineStr">
        <is>
          <t>Квалифицированных лидов из платного</t>
        </is>
      </c>
      <c r="B5" s="17">
        <f>IFERROR(B4/Вводные!B23,0)</f>
        <v/>
      </c>
      <c r="C5" s="17">
        <f>IFERROR(C4/Вводные!C23,0)</f>
        <v/>
      </c>
      <c r="D5" s="17">
        <f>IFERROR(D4/Вводные!D23,0)</f>
        <v/>
      </c>
      <c r="E5" s="2" t="inlineStr">
        <is>
          <t>Бюджет / стоимость квал. лида</t>
        </is>
      </c>
    </row>
    <row r="6">
      <c r="A6" s="2" t="inlineStr">
        <is>
          <t>Квалифицированных лидов из бесплатных</t>
        </is>
      </c>
      <c r="B6" s="17">
        <f>Вводные!B22*12</f>
        <v/>
      </c>
      <c r="C6" s="17">
        <f>Вводные!C22*12</f>
        <v/>
      </c>
      <c r="D6" s="17">
        <f>Вводные!D22*12</f>
        <v/>
      </c>
      <c r="E6" s="2" t="inlineStr">
        <is>
          <t>В месяц × 12</t>
        </is>
      </c>
    </row>
    <row r="7">
      <c r="A7" s="2" t="inlineStr">
        <is>
          <t>Диагностик</t>
        </is>
      </c>
      <c r="B7" s="17">
        <f>(B5+B6)*Вводные!B24</f>
        <v/>
      </c>
      <c r="C7" s="17">
        <f>(C5+C6)*Вводные!C24</f>
        <v/>
      </c>
      <c r="D7" s="17">
        <f>(D5+D6)*Вводные!D24</f>
        <v/>
      </c>
      <c r="E7" s="2" t="inlineStr">
        <is>
          <t>Лиды × доля до диагностики</t>
        </is>
      </c>
    </row>
    <row r="8">
      <c r="A8" s="10" t="inlineStr">
        <is>
          <t>Сделок (броней) за год</t>
        </is>
      </c>
      <c r="B8" s="17">
        <f>B7*Вводные!B25</f>
        <v/>
      </c>
      <c r="C8" s="17">
        <f>C7*Вводные!C25</f>
        <v/>
      </c>
      <c r="D8" s="17">
        <f>D7*Вводные!D25</f>
        <v/>
      </c>
      <c r="E8" s="2" t="inlineStr">
        <is>
          <t>Диагностики × доля до сделки</t>
        </is>
      </c>
    </row>
    <row r="9">
      <c r="A9" s="2" t="inlineStr">
        <is>
          <t>Сделок с выплатой в пределах года (грубо)</t>
        </is>
      </c>
      <c r="B9" s="17">
        <f>B8*MAX(0,12-Вводные!$B$8-Вводные!B26+1)/12</f>
        <v/>
      </c>
      <c r="C9" s="17">
        <f>C8*MAX(0,12-Вводные!$B$8-Вводные!C26+1)/12</f>
        <v/>
      </c>
      <c r="D9" s="17">
        <f>D8*MAX(0,12-Вводные!$B$8-Вводные!D26+1)/12</f>
        <v/>
      </c>
      <c r="E9" s="2" t="inlineStr">
        <is>
          <t>Сделки × доля месяцев, когда выплата успевает прийти</t>
        </is>
      </c>
    </row>
    <row r="10">
      <c r="A10" s="2" t="inlineStr">
        <is>
          <t>Выручка (комиссии получены)</t>
        </is>
      </c>
      <c r="B10" s="11">
        <f>B9*Вводные!$B$4</f>
        <v/>
      </c>
      <c r="C10" s="11">
        <f>C9*Вводные!$B$4</f>
        <v/>
      </c>
      <c r="D10" s="11">
        <f>D9*Вводные!$B$4</f>
        <v/>
      </c>
      <c r="E10" s="2" t="inlineStr">
        <is>
          <t>Сделки с выплатой × комиссия</t>
        </is>
      </c>
    </row>
    <row r="11">
      <c r="A11" s="2" t="inlineStr">
        <is>
          <t>Расходы: налог и партнёры</t>
        </is>
      </c>
      <c r="B11" s="11">
        <f>-B9*(Вводные!$B$4*Вводные!$B$5+Вводные!$B$6+Вводные!$B$7)</f>
        <v/>
      </c>
      <c r="C11" s="11">
        <f>-C9*(Вводные!$B$4*Вводные!$B$5+Вводные!$B$6+Вводные!$B$7)</f>
        <v/>
      </c>
      <c r="D11" s="11">
        <f>-D9*(Вводные!$B$4*Вводные!$B$5+Вводные!$B$6+Вводные!$B$7)</f>
        <v/>
      </c>
      <c r="E11" s="2" t="inlineStr">
        <is>
          <t>На каждую сделку</t>
        </is>
      </c>
    </row>
    <row r="12">
      <c r="A12" s="2" t="inlineStr">
        <is>
          <t>Расходы: маркетинг</t>
        </is>
      </c>
      <c r="B12" s="11">
        <f>-B4</f>
        <v/>
      </c>
      <c r="C12" s="11">
        <f>-C4</f>
        <v/>
      </c>
      <c r="D12" s="11">
        <f>-D4</f>
        <v/>
      </c>
      <c r="E12" s="2" t="inlineStr">
        <is>
          <t>Строка 4</t>
        </is>
      </c>
    </row>
    <row r="13">
      <c r="A13" s="2" t="inlineStr">
        <is>
          <t>Расходы: постоянные</t>
        </is>
      </c>
      <c r="B13" s="11">
        <f>-12*Вводные!$B$18</f>
        <v/>
      </c>
      <c r="C13" s="11">
        <f>-12*Вводные!$B$18</f>
        <v/>
      </c>
      <c r="D13" s="11">
        <f>-12*Вводные!$B$18</f>
        <v/>
      </c>
      <c r="E13" s="2" t="inlineStr">
        <is>
          <t>12 × постоянные</t>
        </is>
      </c>
    </row>
    <row r="14">
      <c r="A14" s="10" t="inlineStr">
        <is>
          <t>Результат за год</t>
        </is>
      </c>
      <c r="B14" s="11">
        <f>SUM(B10:B13)</f>
        <v/>
      </c>
      <c r="C14" s="11">
        <f>SUM(C10:C13)</f>
        <v/>
      </c>
      <c r="D14" s="11">
        <f>SUM(D10:D13)</f>
        <v/>
      </c>
      <c r="E14" s="2" t="inlineStr">
        <is>
          <t>Выручка − расходы</t>
        </is>
      </c>
    </row>
    <row r="15">
      <c r="A15" s="2" t="inlineStr">
        <is>
          <t>Минимум J-12: 4 сделки (безубыточность брифа) — выполнен?</t>
        </is>
      </c>
      <c r="B15" s="18">
        <f>IF(B8&gt;=4,"да","нет")</f>
        <v/>
      </c>
      <c r="C15" s="18">
        <f>IF(C8&gt;=4,"да","нет")</f>
        <v/>
      </c>
      <c r="D15" s="18">
        <f>IF(D8&gt;=4,"да","нет")</f>
        <v/>
      </c>
      <c r="E15" s="2" t="inlineStr">
        <is>
          <t>Сравнение с целью 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1" t="inlineStr">
        <is>
          <t>Движение денег по месяцам (сценарий из Вводные!B30)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</row>
    <row r="2">
      <c r="A2" s="4">
        <f>"Сценарий: "&amp;CHOOSE(Вводные!$B$30,"пессимистичный","базовый","оптимистичный")</f>
        <v/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5" t="inlineStr">
        <is>
          <t>Строка</t>
        </is>
      </c>
      <c r="B4" s="5" t="inlineStr">
        <is>
          <t>М1</t>
        </is>
      </c>
      <c r="C4" s="5" t="inlineStr">
        <is>
          <t>М2</t>
        </is>
      </c>
      <c r="D4" s="5" t="inlineStr">
        <is>
          <t>М3</t>
        </is>
      </c>
      <c r="E4" s="5" t="inlineStr">
        <is>
          <t>М4</t>
        </is>
      </c>
      <c r="F4" s="5" t="inlineStr">
        <is>
          <t>М5</t>
        </is>
      </c>
      <c r="G4" s="5" t="inlineStr">
        <is>
          <t>М6</t>
        </is>
      </c>
      <c r="H4" s="5" t="inlineStr">
        <is>
          <t>М7</t>
        </is>
      </c>
      <c r="I4" s="5" t="inlineStr">
        <is>
          <t>М8</t>
        </is>
      </c>
      <c r="J4" s="5" t="inlineStr">
        <is>
          <t>М9</t>
        </is>
      </c>
      <c r="K4" s="5" t="inlineStr">
        <is>
          <t>М10</t>
        </is>
      </c>
      <c r="L4" s="5" t="inlineStr">
        <is>
          <t>М11</t>
        </is>
      </c>
      <c r="M4" s="5" t="inlineStr">
        <is>
          <t>М12</t>
        </is>
      </c>
      <c r="N4" s="5" t="inlineStr">
        <is>
          <t>Итого</t>
        </is>
      </c>
    </row>
    <row r="5">
      <c r="A5" s="2" t="inlineStr">
        <is>
          <t>Номер месяца</t>
        </is>
      </c>
      <c r="B5" s="19" t="n">
        <v>1</v>
      </c>
      <c r="C5" s="19" t="n">
        <v>2</v>
      </c>
      <c r="D5" s="19" t="n">
        <v>3</v>
      </c>
      <c r="E5" s="19" t="n">
        <v>4</v>
      </c>
      <c r="F5" s="19" t="n">
        <v>5</v>
      </c>
      <c r="G5" s="19" t="n">
        <v>6</v>
      </c>
      <c r="H5" s="19" t="n">
        <v>7</v>
      </c>
      <c r="I5" s="19" t="n">
        <v>8</v>
      </c>
      <c r="J5" s="19" t="n">
        <v>9</v>
      </c>
      <c r="K5" s="19" t="n">
        <v>10</v>
      </c>
      <c r="L5" s="19" t="n">
        <v>11</v>
      </c>
      <c r="M5" s="19" t="n">
        <v>12</v>
      </c>
      <c r="N5" s="4" t="n"/>
    </row>
    <row r="6">
      <c r="A6" s="10" t="inlineStr">
        <is>
          <t>Остаток на начало</t>
        </is>
      </c>
      <c r="B6" s="11">
        <f>Вводные!$B$9</f>
        <v/>
      </c>
      <c r="C6" s="11">
        <f>B14</f>
        <v/>
      </c>
      <c r="D6" s="11">
        <f>C14</f>
        <v/>
      </c>
      <c r="E6" s="11">
        <f>D14</f>
        <v/>
      </c>
      <c r="F6" s="11">
        <f>E14</f>
        <v/>
      </c>
      <c r="G6" s="11">
        <f>F14</f>
        <v/>
      </c>
      <c r="H6" s="11">
        <f>G14</f>
        <v/>
      </c>
      <c r="I6" s="11">
        <f>H14</f>
        <v/>
      </c>
      <c r="J6" s="11">
        <f>I14</f>
        <v/>
      </c>
      <c r="K6" s="11">
        <f>J14</f>
        <v/>
      </c>
      <c r="L6" s="11">
        <f>K14</f>
        <v/>
      </c>
      <c r="M6" s="11">
        <f>L14</f>
        <v/>
      </c>
      <c r="N6" s="4" t="n"/>
    </row>
    <row r="7">
      <c r="A7" s="2" t="inlineStr">
        <is>
          <t>Платный бюджет</t>
        </is>
      </c>
      <c r="B7" s="11">
        <f>IF(B5=1,0,IF(B5&lt;=3,Вводные!$B$10/2,Вводные!$B$11))</f>
        <v/>
      </c>
      <c r="C7" s="11">
        <f>IF(C5=1,0,IF(C5&lt;=3,Вводные!$B$10/2,Вводные!$B$11))</f>
        <v/>
      </c>
      <c r="D7" s="11">
        <f>IF(D5=1,0,IF(D5&lt;=3,Вводные!$B$10/2,Вводные!$B$11))</f>
        <v/>
      </c>
      <c r="E7" s="11">
        <f>IF(E5=1,0,IF(E5&lt;=3,Вводные!$B$10/2,Вводные!$B$11))</f>
        <v/>
      </c>
      <c r="F7" s="11">
        <f>IF(F5=1,0,IF(F5&lt;=3,Вводные!$B$10/2,Вводные!$B$11))</f>
        <v/>
      </c>
      <c r="G7" s="11">
        <f>IF(G5=1,0,IF(G5&lt;=3,Вводные!$B$10/2,Вводные!$B$11))</f>
        <v/>
      </c>
      <c r="H7" s="11">
        <f>IF(H5=1,0,IF(H5&lt;=3,Вводные!$B$10/2,Вводные!$B$11))</f>
        <v/>
      </c>
      <c r="I7" s="11">
        <f>IF(I5=1,0,IF(I5&lt;=3,Вводные!$B$10/2,Вводные!$B$11))</f>
        <v/>
      </c>
      <c r="J7" s="11">
        <f>IF(J5=1,0,IF(J5&lt;=3,Вводные!$B$10/2,Вводные!$B$11))</f>
        <v/>
      </c>
      <c r="K7" s="11">
        <f>IF(K5=1,0,IF(K5&lt;=3,Вводные!$B$10/2,Вводные!$B$11))</f>
        <v/>
      </c>
      <c r="L7" s="11">
        <f>IF(L5=1,0,IF(L5&lt;=3,Вводные!$B$10/2,Вводные!$B$11))</f>
        <v/>
      </c>
      <c r="M7" s="11">
        <f>IF(M5=1,0,IF(M5&lt;=3,Вводные!$B$10/2,Вводные!$B$11))</f>
        <v/>
      </c>
      <c r="N7" s="20">
        <f>SUM(B7:M7)</f>
        <v/>
      </c>
    </row>
    <row r="8">
      <c r="A8" s="2" t="inlineStr">
        <is>
          <t>Постоянные расходы</t>
        </is>
      </c>
      <c r="B8" s="16">
        <f>Вводные!$B$18</f>
        <v/>
      </c>
      <c r="C8" s="16">
        <f>Вводные!$B$18</f>
        <v/>
      </c>
      <c r="D8" s="16">
        <f>Вводные!$B$18</f>
        <v/>
      </c>
      <c r="E8" s="16">
        <f>Вводные!$B$18</f>
        <v/>
      </c>
      <c r="F8" s="16">
        <f>Вводные!$B$18</f>
        <v/>
      </c>
      <c r="G8" s="16">
        <f>Вводные!$B$18</f>
        <v/>
      </c>
      <c r="H8" s="16">
        <f>Вводные!$B$18</f>
        <v/>
      </c>
      <c r="I8" s="16">
        <f>Вводные!$B$18</f>
        <v/>
      </c>
      <c r="J8" s="16">
        <f>Вводные!$B$18</f>
        <v/>
      </c>
      <c r="K8" s="16">
        <f>Вводные!$B$18</f>
        <v/>
      </c>
      <c r="L8" s="16">
        <f>Вводные!$B$18</f>
        <v/>
      </c>
      <c r="M8" s="16">
        <f>Вводные!$B$18</f>
        <v/>
      </c>
      <c r="N8" s="20">
        <f>SUM(B8:M8)</f>
        <v/>
      </c>
    </row>
    <row r="9">
      <c r="A9" s="2" t="inlineStr">
        <is>
          <t>Квал. лидов (бесплатные + платные)</t>
        </is>
      </c>
      <c r="B9" s="17">
        <f>Вводные!$F$22+IFERROR(B7/Вводные!$F$23,0)</f>
        <v/>
      </c>
      <c r="C9" s="17">
        <f>Вводные!$F$22+IFERROR(C7/Вводные!$F$23,0)</f>
        <v/>
      </c>
      <c r="D9" s="17">
        <f>Вводные!$F$22+IFERROR(D7/Вводные!$F$23,0)</f>
        <v/>
      </c>
      <c r="E9" s="17">
        <f>Вводные!$F$22+IFERROR(E7/Вводные!$F$23,0)</f>
        <v/>
      </c>
      <c r="F9" s="17">
        <f>Вводные!$F$22+IFERROR(F7/Вводные!$F$23,0)</f>
        <v/>
      </c>
      <c r="G9" s="17">
        <f>Вводные!$F$22+IFERROR(G7/Вводные!$F$23,0)</f>
        <v/>
      </c>
      <c r="H9" s="17">
        <f>Вводные!$F$22+IFERROR(H7/Вводные!$F$23,0)</f>
        <v/>
      </c>
      <c r="I9" s="17">
        <f>Вводные!$F$22+IFERROR(I7/Вводные!$F$23,0)</f>
        <v/>
      </c>
      <c r="J9" s="17">
        <f>Вводные!$F$22+IFERROR(J7/Вводные!$F$23,0)</f>
        <v/>
      </c>
      <c r="K9" s="17">
        <f>Вводные!$F$22+IFERROR(K7/Вводные!$F$23,0)</f>
        <v/>
      </c>
      <c r="L9" s="17">
        <f>Вводные!$F$22+IFERROR(L7/Вводные!$F$23,0)</f>
        <v/>
      </c>
      <c r="M9" s="17">
        <f>Вводные!$F$22+IFERROR(M7/Вводные!$F$23,0)</f>
        <v/>
      </c>
      <c r="N9" s="21">
        <f>SUM(B9:M9)</f>
        <v/>
      </c>
    </row>
    <row r="10">
      <c r="A10" s="2" t="inlineStr">
        <is>
          <t>Броней (сделок) в месяц</t>
        </is>
      </c>
      <c r="B10" s="17">
        <f>IF(B5&gt;=Вводные!$F$26,B9*Вводные!$F$24*Вводные!$F$25,0)</f>
        <v/>
      </c>
      <c r="C10" s="17">
        <f>IF(C5&gt;=Вводные!$F$26,C9*Вводные!$F$24*Вводные!$F$25,0)</f>
        <v/>
      </c>
      <c r="D10" s="17">
        <f>IF(D5&gt;=Вводные!$F$26,D9*Вводные!$F$24*Вводные!$F$25,0)</f>
        <v/>
      </c>
      <c r="E10" s="17">
        <f>IF(E5&gt;=Вводные!$F$26,E9*Вводные!$F$24*Вводные!$F$25,0)</f>
        <v/>
      </c>
      <c r="F10" s="17">
        <f>IF(F5&gt;=Вводные!$F$26,F9*Вводные!$F$24*Вводные!$F$25,0)</f>
        <v/>
      </c>
      <c r="G10" s="17">
        <f>IF(G5&gt;=Вводные!$F$26,G9*Вводные!$F$24*Вводные!$F$25,0)</f>
        <v/>
      </c>
      <c r="H10" s="17">
        <f>IF(H5&gt;=Вводные!$F$26,H9*Вводные!$F$24*Вводные!$F$25,0)</f>
        <v/>
      </c>
      <c r="I10" s="17">
        <f>IF(I5&gt;=Вводные!$F$26,I9*Вводные!$F$24*Вводные!$F$25,0)</f>
        <v/>
      </c>
      <c r="J10" s="17">
        <f>IF(J5&gt;=Вводные!$F$26,J9*Вводные!$F$24*Вводные!$F$25,0)</f>
        <v/>
      </c>
      <c r="K10" s="17">
        <f>IF(K5&gt;=Вводные!$F$26,K9*Вводные!$F$24*Вводные!$F$25,0)</f>
        <v/>
      </c>
      <c r="L10" s="17">
        <f>IF(L5&gt;=Вводные!$F$26,L9*Вводные!$F$24*Вводные!$F$25,0)</f>
        <v/>
      </c>
      <c r="M10" s="17">
        <f>IF(M5&gt;=Вводные!$F$26,M9*Вводные!$F$24*Вводные!$F$25,0)</f>
        <v/>
      </c>
      <c r="N10" s="21">
        <f>SUM(B10:M10)</f>
        <v/>
      </c>
    </row>
    <row r="11">
      <c r="A11" s="2" t="inlineStr">
        <is>
          <t>Выплат комиссий (сделок)</t>
        </is>
      </c>
      <c r="B11" s="17">
        <f>IF(B5-Вводные!$B$8&gt;=1,INDEX($B$10:$M$10,1,B5-Вводные!$B$8),0)</f>
        <v/>
      </c>
      <c r="C11" s="17">
        <f>IF(C5-Вводные!$B$8&gt;=1,INDEX($B$10:$M$10,1,C5-Вводные!$B$8),0)</f>
        <v/>
      </c>
      <c r="D11" s="17">
        <f>IF(D5-Вводные!$B$8&gt;=1,INDEX($B$10:$M$10,1,D5-Вводные!$B$8),0)</f>
        <v/>
      </c>
      <c r="E11" s="17">
        <f>IF(E5-Вводные!$B$8&gt;=1,INDEX($B$10:$M$10,1,E5-Вводные!$B$8),0)</f>
        <v/>
      </c>
      <c r="F11" s="17">
        <f>IF(F5-Вводные!$B$8&gt;=1,INDEX($B$10:$M$10,1,F5-Вводные!$B$8),0)</f>
        <v/>
      </c>
      <c r="G11" s="17">
        <f>IF(G5-Вводные!$B$8&gt;=1,INDEX($B$10:$M$10,1,G5-Вводные!$B$8),0)</f>
        <v/>
      </c>
      <c r="H11" s="17">
        <f>IF(H5-Вводные!$B$8&gt;=1,INDEX($B$10:$M$10,1,H5-Вводные!$B$8),0)</f>
        <v/>
      </c>
      <c r="I11" s="17">
        <f>IF(I5-Вводные!$B$8&gt;=1,INDEX($B$10:$M$10,1,I5-Вводные!$B$8),0)</f>
        <v/>
      </c>
      <c r="J11" s="17">
        <f>IF(J5-Вводные!$B$8&gt;=1,INDEX($B$10:$M$10,1,J5-Вводные!$B$8),0)</f>
        <v/>
      </c>
      <c r="K11" s="17">
        <f>IF(K5-Вводные!$B$8&gt;=1,INDEX($B$10:$M$10,1,K5-Вводные!$B$8),0)</f>
        <v/>
      </c>
      <c r="L11" s="17">
        <f>IF(L5-Вводные!$B$8&gt;=1,INDEX($B$10:$M$10,1,L5-Вводные!$B$8),0)</f>
        <v/>
      </c>
      <c r="M11" s="17">
        <f>IF(M5-Вводные!$B$8&gt;=1,INDEX($B$10:$M$10,1,M5-Вводные!$B$8),0)</f>
        <v/>
      </c>
      <c r="N11" s="21">
        <f>SUM(B11:M11)</f>
        <v/>
      </c>
    </row>
    <row r="12">
      <c r="A12" s="2" t="inlineStr">
        <is>
          <t>Поступления: комиссии</t>
        </is>
      </c>
      <c r="B12" s="11">
        <f>B11*Вводные!$B$4</f>
        <v/>
      </c>
      <c r="C12" s="11">
        <f>C11*Вводные!$B$4</f>
        <v/>
      </c>
      <c r="D12" s="11">
        <f>D11*Вводные!$B$4</f>
        <v/>
      </c>
      <c r="E12" s="11">
        <f>E11*Вводные!$B$4</f>
        <v/>
      </c>
      <c r="F12" s="11">
        <f>F11*Вводные!$B$4</f>
        <v/>
      </c>
      <c r="G12" s="11">
        <f>G11*Вводные!$B$4</f>
        <v/>
      </c>
      <c r="H12" s="11">
        <f>H11*Вводные!$B$4</f>
        <v/>
      </c>
      <c r="I12" s="11">
        <f>I11*Вводные!$B$4</f>
        <v/>
      </c>
      <c r="J12" s="11">
        <f>J11*Вводные!$B$4</f>
        <v/>
      </c>
      <c r="K12" s="11">
        <f>K11*Вводные!$B$4</f>
        <v/>
      </c>
      <c r="L12" s="11">
        <f>L11*Вводные!$B$4</f>
        <v/>
      </c>
      <c r="M12" s="11">
        <f>M11*Вводные!$B$4</f>
        <v/>
      </c>
      <c r="N12" s="20">
        <f>SUM(B12:M12)</f>
        <v/>
      </c>
    </row>
    <row r="13">
      <c r="A13" s="2" t="inlineStr">
        <is>
          <t>Налог и партнёры</t>
        </is>
      </c>
      <c r="B13" s="11">
        <f>B11*(Вводные!$B$4*Вводные!$B$5+Вводные!$B$6+Вводные!$B$7)</f>
        <v/>
      </c>
      <c r="C13" s="11">
        <f>C11*(Вводные!$B$4*Вводные!$B$5+Вводные!$B$6+Вводные!$B$7)</f>
        <v/>
      </c>
      <c r="D13" s="11">
        <f>D11*(Вводные!$B$4*Вводные!$B$5+Вводные!$B$6+Вводные!$B$7)</f>
        <v/>
      </c>
      <c r="E13" s="11">
        <f>E11*(Вводные!$B$4*Вводные!$B$5+Вводные!$B$6+Вводные!$B$7)</f>
        <v/>
      </c>
      <c r="F13" s="11">
        <f>F11*(Вводные!$B$4*Вводные!$B$5+Вводные!$B$6+Вводные!$B$7)</f>
        <v/>
      </c>
      <c r="G13" s="11">
        <f>G11*(Вводные!$B$4*Вводные!$B$5+Вводные!$B$6+Вводные!$B$7)</f>
        <v/>
      </c>
      <c r="H13" s="11">
        <f>H11*(Вводные!$B$4*Вводные!$B$5+Вводные!$B$6+Вводные!$B$7)</f>
        <v/>
      </c>
      <c r="I13" s="11">
        <f>I11*(Вводные!$B$4*Вводные!$B$5+Вводные!$B$6+Вводные!$B$7)</f>
        <v/>
      </c>
      <c r="J13" s="11">
        <f>J11*(Вводные!$B$4*Вводные!$B$5+Вводные!$B$6+Вводные!$B$7)</f>
        <v/>
      </c>
      <c r="K13" s="11">
        <f>K11*(Вводные!$B$4*Вводные!$B$5+Вводные!$B$6+Вводные!$B$7)</f>
        <v/>
      </c>
      <c r="L13" s="11">
        <f>L11*(Вводные!$B$4*Вводные!$B$5+Вводные!$B$6+Вводные!$B$7)</f>
        <v/>
      </c>
      <c r="M13" s="11">
        <f>M11*(Вводные!$B$4*Вводные!$B$5+Вводные!$B$6+Вводные!$B$7)</f>
        <v/>
      </c>
      <c r="N13" s="20">
        <f>SUM(B13:M13)</f>
        <v/>
      </c>
    </row>
    <row r="14">
      <c r="A14" s="10" t="inlineStr">
        <is>
          <t>Остаток на конец</t>
        </is>
      </c>
      <c r="B14" s="11">
        <f>B6-B7-B8+B12-B13</f>
        <v/>
      </c>
      <c r="C14" s="11">
        <f>C6-C7-C8+C12-C13</f>
        <v/>
      </c>
      <c r="D14" s="11">
        <f>D6-D7-D8+D12-D13</f>
        <v/>
      </c>
      <c r="E14" s="11">
        <f>E6-E7-E8+E12-E13</f>
        <v/>
      </c>
      <c r="F14" s="11">
        <f>F6-F7-F8+F12-F13</f>
        <v/>
      </c>
      <c r="G14" s="11">
        <f>G6-G7-G8+G12-G13</f>
        <v/>
      </c>
      <c r="H14" s="11">
        <f>H6-H7-H8+H12-H13</f>
        <v/>
      </c>
      <c r="I14" s="11">
        <f>I6-I7-I8+I12-I13</f>
        <v/>
      </c>
      <c r="J14" s="11">
        <f>J6-J7-J8+J12-J13</f>
        <v/>
      </c>
      <c r="K14" s="11">
        <f>K6-K7-K8+K12-K13</f>
        <v/>
      </c>
      <c r="L14" s="11">
        <f>L6-L7-L8+L12-L13</f>
        <v/>
      </c>
      <c r="M14" s="11">
        <f>M6-M7-M8+M12-M13</f>
        <v/>
      </c>
      <c r="N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10" t="inlineStr">
        <is>
          <t>Месяц, когда остаток впервые меньше нуля (0 — не уходит в минус)</t>
        </is>
      </c>
      <c r="B16" s="4">
        <f>IFERROR(MATCH(TRUE,INDEX(B14:M14&lt;0,0),0),0)</f>
        <v/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2" t="inlineStr">
        <is>
          <t>Внимание: выплаты «дробные», потому что это ожидаемое значение по сценарию. В жизни сделка — целое число, первая может прийти позже.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4" customWidth="1" min="3" max="3"/>
    <col width="10" customWidth="1" min="4" max="4"/>
    <col width="18" customWidth="1" min="5" max="5"/>
    <col width="12" customWidth="1" min="6" max="6"/>
    <col width="16" customWidth="1" min="7" max="7"/>
    <col width="18" customWidth="1" min="8" max="8"/>
    <col width="18" customWidth="1" min="9" max="9"/>
    <col width="4" customWidth="1" min="10" max="10"/>
    <col width="22" customWidth="1" min="11" max="11"/>
    <col width="14" customWidth="1" min="12" max="12"/>
  </cols>
  <sheetData>
    <row r="1">
      <c r="A1" s="1" t="inlineStr">
        <is>
          <t>Учёт каналов по неделям (заполнять из CRM на еженедельном обзоре)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>
      <c r="A3" s="5" t="inlineStr">
        <is>
          <t>Неделя (дата понедельника)</t>
        </is>
      </c>
      <c r="B3" s="5" t="inlineStr">
        <is>
          <t>Канал</t>
        </is>
      </c>
      <c r="C3" s="5" t="inlineStr">
        <is>
          <t>Расход, ₽</t>
        </is>
      </c>
      <c r="D3" s="5" t="inlineStr">
        <is>
          <t>Лидов</t>
        </is>
      </c>
      <c r="E3" s="5" t="inlineStr">
        <is>
          <t>Квалифицированных</t>
        </is>
      </c>
      <c r="F3" s="5" t="inlineStr">
        <is>
          <t>Диагностик</t>
        </is>
      </c>
      <c r="G3" s="5" t="inlineStr">
        <is>
          <t>Стоимость лида</t>
        </is>
      </c>
      <c r="H3" s="5" t="inlineStr">
        <is>
          <t>Стоимость квал. лида</t>
        </is>
      </c>
      <c r="I3" s="5" t="inlineStr">
        <is>
          <t>Стоимость диагностики</t>
        </is>
      </c>
      <c r="J3" s="4" t="n"/>
      <c r="K3" s="10" t="inlineStr">
        <is>
          <t>Итого по всем неделям</t>
        </is>
      </c>
      <c r="L3" s="4" t="n"/>
    </row>
    <row r="4">
      <c r="A4" s="19" t="inlineStr">
        <is>
          <t>28.09.2026</t>
        </is>
      </c>
      <c r="B4" s="19" t="inlineStr">
        <is>
          <t>пример: авито-объявления</t>
        </is>
      </c>
      <c r="C4" s="9" t="n">
        <v>0</v>
      </c>
      <c r="D4" s="19" t="n">
        <v>0</v>
      </c>
      <c r="E4" s="19" t="n">
        <v>0</v>
      </c>
      <c r="F4" s="19" t="n">
        <v>0</v>
      </c>
      <c r="G4" s="20">
        <f>IF(D4&gt;0,C4/D4,"")</f>
        <v/>
      </c>
      <c r="H4" s="20">
        <f>IF(E4&gt;0,C4/E4,"")</f>
        <v/>
      </c>
      <c r="I4" s="20">
        <f>IF(F4&gt;0,C4/F4,"")</f>
        <v/>
      </c>
      <c r="J4" s="4" t="n"/>
      <c r="K4" s="2" t="inlineStr">
        <is>
          <t>Расход</t>
        </is>
      </c>
      <c r="L4" s="20">
        <f>SUM(C4:C103)</f>
        <v/>
      </c>
    </row>
    <row r="5">
      <c r="A5" s="4" t="n"/>
      <c r="B5" s="4" t="n"/>
      <c r="C5" s="20" t="n"/>
      <c r="D5" s="4" t="n"/>
      <c r="E5" s="4" t="n"/>
      <c r="F5" s="4" t="n"/>
      <c r="G5" s="20">
        <f>IF(D5&gt;0,C5/D5,"")</f>
        <v/>
      </c>
      <c r="H5" s="20">
        <f>IF(E5&gt;0,C5/E5,"")</f>
        <v/>
      </c>
      <c r="I5" s="20">
        <f>IF(F5&gt;0,C5/F5,"")</f>
        <v/>
      </c>
      <c r="J5" s="4" t="n"/>
      <c r="K5" s="2" t="inlineStr">
        <is>
          <t>Лидов</t>
        </is>
      </c>
      <c r="L5" s="23">
        <f>SUM(D4:D103)</f>
        <v/>
      </c>
    </row>
    <row r="6">
      <c r="A6" s="4" t="n"/>
      <c r="B6" s="4" t="n"/>
      <c r="C6" s="20" t="n"/>
      <c r="D6" s="4" t="n"/>
      <c r="E6" s="4" t="n"/>
      <c r="F6" s="4" t="n"/>
      <c r="G6" s="20">
        <f>IF(D6&gt;0,C6/D6,"")</f>
        <v/>
      </c>
      <c r="H6" s="20">
        <f>IF(E6&gt;0,C6/E6,"")</f>
        <v/>
      </c>
      <c r="I6" s="20">
        <f>IF(F6&gt;0,C6/F6,"")</f>
        <v/>
      </c>
      <c r="J6" s="4" t="n"/>
      <c r="K6" s="2" t="inlineStr">
        <is>
          <t>Квалифицированных</t>
        </is>
      </c>
      <c r="L6" s="23">
        <f>SUM(E4:E103)</f>
        <v/>
      </c>
    </row>
    <row r="7">
      <c r="A7" s="4" t="n"/>
      <c r="B7" s="4" t="n"/>
      <c r="C7" s="20" t="n"/>
      <c r="D7" s="4" t="n"/>
      <c r="E7" s="4" t="n"/>
      <c r="F7" s="4" t="n"/>
      <c r="G7" s="20">
        <f>IF(D7&gt;0,C7/D7,"")</f>
        <v/>
      </c>
      <c r="H7" s="20">
        <f>IF(E7&gt;0,C7/E7,"")</f>
        <v/>
      </c>
      <c r="I7" s="20">
        <f>IF(F7&gt;0,C7/F7,"")</f>
        <v/>
      </c>
      <c r="J7" s="4" t="n"/>
      <c r="K7" s="2" t="inlineStr">
        <is>
          <t>Диагностик</t>
        </is>
      </c>
      <c r="L7" s="23">
        <f>SUM(F4:F103)</f>
        <v/>
      </c>
    </row>
    <row r="8">
      <c r="A8" s="4" t="n"/>
      <c r="B8" s="4" t="n"/>
      <c r="C8" s="20" t="n"/>
      <c r="D8" s="4" t="n"/>
      <c r="E8" s="4" t="n"/>
      <c r="F8" s="4" t="n"/>
      <c r="G8" s="20">
        <f>IF(D8&gt;0,C8/D8,"")</f>
        <v/>
      </c>
      <c r="H8" s="20">
        <f>IF(E8&gt;0,C8/E8,"")</f>
        <v/>
      </c>
      <c r="I8" s="20">
        <f>IF(F8&gt;0,C8/F8,"")</f>
        <v/>
      </c>
      <c r="J8" s="4" t="n"/>
      <c r="K8" s="4" t="n"/>
      <c r="L8" s="4" t="n"/>
    </row>
    <row r="9">
      <c r="A9" s="4" t="n"/>
      <c r="B9" s="4" t="n"/>
      <c r="C9" s="20" t="n"/>
      <c r="D9" s="4" t="n"/>
      <c r="E9" s="4" t="n"/>
      <c r="F9" s="4" t="n"/>
      <c r="G9" s="20">
        <f>IF(D9&gt;0,C9/D9,"")</f>
        <v/>
      </c>
      <c r="H9" s="20">
        <f>IF(E9&gt;0,C9/E9,"")</f>
        <v/>
      </c>
      <c r="I9" s="20">
        <f>IF(F9&gt;0,C9/F9,"")</f>
        <v/>
      </c>
      <c r="J9" s="4" t="n"/>
      <c r="K9" s="4" t="n"/>
      <c r="L9" s="4" t="n"/>
    </row>
    <row r="10">
      <c r="A10" s="4" t="n"/>
      <c r="B10" s="4" t="n"/>
      <c r="C10" s="20" t="n"/>
      <c r="D10" s="4" t="n"/>
      <c r="E10" s="4" t="n"/>
      <c r="F10" s="4" t="n"/>
      <c r="G10" s="20">
        <f>IF(D10&gt;0,C10/D10,"")</f>
        <v/>
      </c>
      <c r="H10" s="20">
        <f>IF(E10&gt;0,C10/E10,"")</f>
        <v/>
      </c>
      <c r="I10" s="20">
        <f>IF(F10&gt;0,C10/F10,"")</f>
        <v/>
      </c>
      <c r="J10" s="4" t="n"/>
      <c r="K10" s="4" t="n"/>
      <c r="L10" s="4" t="n"/>
    </row>
    <row r="11">
      <c r="A11" s="4" t="n"/>
      <c r="B11" s="4" t="n"/>
      <c r="C11" s="20" t="n"/>
      <c r="D11" s="4" t="n"/>
      <c r="E11" s="4" t="n"/>
      <c r="F11" s="4" t="n"/>
      <c r="G11" s="20">
        <f>IF(D11&gt;0,C11/D11,"")</f>
        <v/>
      </c>
      <c r="H11" s="20">
        <f>IF(E11&gt;0,C11/E11,"")</f>
        <v/>
      </c>
      <c r="I11" s="20">
        <f>IF(F11&gt;0,C11/F11,"")</f>
        <v/>
      </c>
      <c r="J11" s="4" t="n"/>
      <c r="K11" s="4" t="n"/>
      <c r="L11" s="4" t="n"/>
    </row>
    <row r="12">
      <c r="A12" s="4" t="n"/>
      <c r="B12" s="4" t="n"/>
      <c r="C12" s="20" t="n"/>
      <c r="D12" s="4" t="n"/>
      <c r="E12" s="4" t="n"/>
      <c r="F12" s="4" t="n"/>
      <c r="G12" s="20">
        <f>IF(D12&gt;0,C12/D12,"")</f>
        <v/>
      </c>
      <c r="H12" s="20">
        <f>IF(E12&gt;0,C12/E12,"")</f>
        <v/>
      </c>
      <c r="I12" s="20">
        <f>IF(F12&gt;0,C12/F12,"")</f>
        <v/>
      </c>
      <c r="J12" s="4" t="n"/>
      <c r="K12" s="4" t="n"/>
      <c r="L12" s="4" t="n"/>
    </row>
    <row r="13">
      <c r="A13" s="4" t="n"/>
      <c r="B13" s="4" t="n"/>
      <c r="C13" s="20" t="n"/>
      <c r="D13" s="4" t="n"/>
      <c r="E13" s="4" t="n"/>
      <c r="F13" s="4" t="n"/>
      <c r="G13" s="20">
        <f>IF(D13&gt;0,C13/D13,"")</f>
        <v/>
      </c>
      <c r="H13" s="20">
        <f>IF(E13&gt;0,C13/E13,"")</f>
        <v/>
      </c>
      <c r="I13" s="20">
        <f>IF(F13&gt;0,C13/F13,"")</f>
        <v/>
      </c>
      <c r="J13" s="4" t="n"/>
      <c r="K13" s="4" t="n"/>
      <c r="L13" s="4" t="n"/>
    </row>
    <row r="14">
      <c r="A14" s="4" t="n"/>
      <c r="B14" s="4" t="n"/>
      <c r="C14" s="20" t="n"/>
      <c r="D14" s="4" t="n"/>
      <c r="E14" s="4" t="n"/>
      <c r="F14" s="4" t="n"/>
      <c r="G14" s="20">
        <f>IF(D14&gt;0,C14/D14,"")</f>
        <v/>
      </c>
      <c r="H14" s="20">
        <f>IF(E14&gt;0,C14/E14,"")</f>
        <v/>
      </c>
      <c r="I14" s="20">
        <f>IF(F14&gt;0,C14/F14,"")</f>
        <v/>
      </c>
      <c r="J14" s="4" t="n"/>
      <c r="K14" s="4" t="n"/>
      <c r="L14" s="4" t="n"/>
    </row>
    <row r="15">
      <c r="A15" s="4" t="n"/>
      <c r="B15" s="4" t="n"/>
      <c r="C15" s="20" t="n"/>
      <c r="D15" s="4" t="n"/>
      <c r="E15" s="4" t="n"/>
      <c r="F15" s="4" t="n"/>
      <c r="G15" s="20">
        <f>IF(D15&gt;0,C15/D15,"")</f>
        <v/>
      </c>
      <c r="H15" s="20">
        <f>IF(E15&gt;0,C15/E15,"")</f>
        <v/>
      </c>
      <c r="I15" s="20">
        <f>IF(F15&gt;0,C15/F15,"")</f>
        <v/>
      </c>
      <c r="J15" s="4" t="n"/>
      <c r="K15" s="4" t="n"/>
      <c r="L15" s="4" t="n"/>
    </row>
    <row r="16">
      <c r="A16" s="4" t="n"/>
      <c r="B16" s="4" t="n"/>
      <c r="C16" s="20" t="n"/>
      <c r="D16" s="4" t="n"/>
      <c r="E16" s="4" t="n"/>
      <c r="F16" s="4" t="n"/>
      <c r="G16" s="20">
        <f>IF(D16&gt;0,C16/D16,"")</f>
        <v/>
      </c>
      <c r="H16" s="20">
        <f>IF(E16&gt;0,C16/E16,"")</f>
        <v/>
      </c>
      <c r="I16" s="20">
        <f>IF(F16&gt;0,C16/F16,"")</f>
        <v/>
      </c>
      <c r="J16" s="4" t="n"/>
      <c r="K16" s="4" t="n"/>
      <c r="L16" s="4" t="n"/>
    </row>
    <row r="17">
      <c r="A17" s="4" t="n"/>
      <c r="B17" s="4" t="n"/>
      <c r="C17" s="20" t="n"/>
      <c r="D17" s="4" t="n"/>
      <c r="E17" s="4" t="n"/>
      <c r="F17" s="4" t="n"/>
      <c r="G17" s="20">
        <f>IF(D17&gt;0,C17/D17,"")</f>
        <v/>
      </c>
      <c r="H17" s="20">
        <f>IF(E17&gt;0,C17/E17,"")</f>
        <v/>
      </c>
      <c r="I17" s="20">
        <f>IF(F17&gt;0,C17/F17,"")</f>
        <v/>
      </c>
      <c r="J17" s="4" t="n"/>
      <c r="K17" s="4" t="n"/>
      <c r="L17" s="4" t="n"/>
    </row>
    <row r="18">
      <c r="A18" s="4" t="n"/>
      <c r="B18" s="4" t="n"/>
      <c r="C18" s="20" t="n"/>
      <c r="D18" s="4" t="n"/>
      <c r="E18" s="4" t="n"/>
      <c r="F18" s="4" t="n"/>
      <c r="G18" s="20">
        <f>IF(D18&gt;0,C18/D18,"")</f>
        <v/>
      </c>
      <c r="H18" s="20">
        <f>IF(E18&gt;0,C18/E18,"")</f>
        <v/>
      </c>
      <c r="I18" s="20">
        <f>IF(F18&gt;0,C18/F18,"")</f>
        <v/>
      </c>
      <c r="J18" s="4" t="n"/>
      <c r="K18" s="4" t="n"/>
      <c r="L18" s="4" t="n"/>
    </row>
    <row r="19">
      <c r="A19" s="4" t="n"/>
      <c r="B19" s="4" t="n"/>
      <c r="C19" s="20" t="n"/>
      <c r="D19" s="4" t="n"/>
      <c r="E19" s="4" t="n"/>
      <c r="F19" s="4" t="n"/>
      <c r="G19" s="20">
        <f>IF(D19&gt;0,C19/D19,"")</f>
        <v/>
      </c>
      <c r="H19" s="20">
        <f>IF(E19&gt;0,C19/E19,"")</f>
        <v/>
      </c>
      <c r="I19" s="20">
        <f>IF(F19&gt;0,C19/F19,"")</f>
        <v/>
      </c>
      <c r="J19" s="4" t="n"/>
      <c r="K19" s="4" t="n"/>
      <c r="L19" s="4" t="n"/>
    </row>
    <row r="20">
      <c r="A20" s="4" t="n"/>
      <c r="B20" s="4" t="n"/>
      <c r="C20" s="20" t="n"/>
      <c r="D20" s="4" t="n"/>
      <c r="E20" s="4" t="n"/>
      <c r="F20" s="4" t="n"/>
      <c r="G20" s="20">
        <f>IF(D20&gt;0,C20/D20,"")</f>
        <v/>
      </c>
      <c r="H20" s="20">
        <f>IF(E20&gt;0,C20/E20,"")</f>
        <v/>
      </c>
      <c r="I20" s="20">
        <f>IF(F20&gt;0,C20/F20,"")</f>
        <v/>
      </c>
      <c r="J20" s="4" t="n"/>
      <c r="K20" s="4" t="n"/>
      <c r="L20" s="4" t="n"/>
    </row>
    <row r="21">
      <c r="A21" s="4" t="n"/>
      <c r="B21" s="4" t="n"/>
      <c r="C21" s="20" t="n"/>
      <c r="D21" s="4" t="n"/>
      <c r="E21" s="4" t="n"/>
      <c r="F21" s="4" t="n"/>
      <c r="G21" s="20">
        <f>IF(D21&gt;0,C21/D21,"")</f>
        <v/>
      </c>
      <c r="H21" s="20">
        <f>IF(E21&gt;0,C21/E21,"")</f>
        <v/>
      </c>
      <c r="I21" s="20">
        <f>IF(F21&gt;0,C21/F21,"")</f>
        <v/>
      </c>
      <c r="J21" s="4" t="n"/>
      <c r="K21" s="4" t="n"/>
      <c r="L21" s="4" t="n"/>
    </row>
    <row r="22">
      <c r="A22" s="4" t="n"/>
      <c r="B22" s="4" t="n"/>
      <c r="C22" s="20" t="n"/>
      <c r="D22" s="4" t="n"/>
      <c r="E22" s="4" t="n"/>
      <c r="F22" s="4" t="n"/>
      <c r="G22" s="20">
        <f>IF(D22&gt;0,C22/D22,"")</f>
        <v/>
      </c>
      <c r="H22" s="20">
        <f>IF(E22&gt;0,C22/E22,"")</f>
        <v/>
      </c>
      <c r="I22" s="20">
        <f>IF(F22&gt;0,C22/F22,"")</f>
        <v/>
      </c>
      <c r="J22" s="4" t="n"/>
      <c r="K22" s="4" t="n"/>
      <c r="L22" s="4" t="n"/>
    </row>
    <row r="23">
      <c r="A23" s="4" t="n"/>
      <c r="B23" s="4" t="n"/>
      <c r="C23" s="20" t="n"/>
      <c r="D23" s="4" t="n"/>
      <c r="E23" s="4" t="n"/>
      <c r="F23" s="4" t="n"/>
      <c r="G23" s="20">
        <f>IF(D23&gt;0,C23/D23,"")</f>
        <v/>
      </c>
      <c r="H23" s="20">
        <f>IF(E23&gt;0,C23/E23,"")</f>
        <v/>
      </c>
      <c r="I23" s="20">
        <f>IF(F23&gt;0,C23/F23,"")</f>
        <v/>
      </c>
      <c r="J23" s="4" t="n"/>
      <c r="K23" s="4" t="n"/>
      <c r="L23" s="4" t="n"/>
    </row>
    <row r="24">
      <c r="A24" s="4" t="n"/>
      <c r="B24" s="4" t="n"/>
      <c r="C24" s="20" t="n"/>
      <c r="D24" s="4" t="n"/>
      <c r="E24" s="4" t="n"/>
      <c r="F24" s="4" t="n"/>
      <c r="G24" s="20">
        <f>IF(D24&gt;0,C24/D24,"")</f>
        <v/>
      </c>
      <c r="H24" s="20">
        <f>IF(E24&gt;0,C24/E24,"")</f>
        <v/>
      </c>
      <c r="I24" s="20">
        <f>IF(F24&gt;0,C24/F24,"")</f>
        <v/>
      </c>
      <c r="J24" s="4" t="n"/>
      <c r="K24" s="4" t="n"/>
      <c r="L24" s="4" t="n"/>
    </row>
    <row r="25">
      <c r="A25" s="4" t="n"/>
      <c r="B25" s="4" t="n"/>
      <c r="C25" s="20" t="n"/>
      <c r="D25" s="4" t="n"/>
      <c r="E25" s="4" t="n"/>
      <c r="F25" s="4" t="n"/>
      <c r="G25" s="20">
        <f>IF(D25&gt;0,C25/D25,"")</f>
        <v/>
      </c>
      <c r="H25" s="20">
        <f>IF(E25&gt;0,C25/E25,"")</f>
        <v/>
      </c>
      <c r="I25" s="20">
        <f>IF(F25&gt;0,C25/F25,"")</f>
        <v/>
      </c>
      <c r="J25" s="4" t="n"/>
      <c r="K25" s="4" t="n"/>
      <c r="L25" s="4" t="n"/>
    </row>
    <row r="26">
      <c r="A26" s="4" t="n"/>
      <c r="B26" s="4" t="n"/>
      <c r="C26" s="20" t="n"/>
      <c r="D26" s="4" t="n"/>
      <c r="E26" s="4" t="n"/>
      <c r="F26" s="4" t="n"/>
      <c r="G26" s="20">
        <f>IF(D26&gt;0,C26/D26,"")</f>
        <v/>
      </c>
      <c r="H26" s="20">
        <f>IF(E26&gt;0,C26/E26,"")</f>
        <v/>
      </c>
      <c r="I26" s="20">
        <f>IF(F26&gt;0,C26/F26,"")</f>
        <v/>
      </c>
      <c r="J26" s="4" t="n"/>
      <c r="K26" s="4" t="n"/>
      <c r="L26" s="4" t="n"/>
    </row>
    <row r="27">
      <c r="A27" s="4" t="n"/>
      <c r="B27" s="4" t="n"/>
      <c r="C27" s="20" t="n"/>
      <c r="D27" s="4" t="n"/>
      <c r="E27" s="4" t="n"/>
      <c r="F27" s="4" t="n"/>
      <c r="G27" s="20">
        <f>IF(D27&gt;0,C27/D27,"")</f>
        <v/>
      </c>
      <c r="H27" s="20">
        <f>IF(E27&gt;0,C27/E27,"")</f>
        <v/>
      </c>
      <c r="I27" s="20">
        <f>IF(F27&gt;0,C27/F27,"")</f>
        <v/>
      </c>
      <c r="J27" s="4" t="n"/>
      <c r="K27" s="4" t="n"/>
      <c r="L27" s="4" t="n"/>
    </row>
    <row r="28">
      <c r="A28" s="4" t="n"/>
      <c r="B28" s="4" t="n"/>
      <c r="C28" s="20" t="n"/>
      <c r="D28" s="4" t="n"/>
      <c r="E28" s="4" t="n"/>
      <c r="F28" s="4" t="n"/>
      <c r="G28" s="20">
        <f>IF(D28&gt;0,C28/D28,"")</f>
        <v/>
      </c>
      <c r="H28" s="20">
        <f>IF(E28&gt;0,C28/E28,"")</f>
        <v/>
      </c>
      <c r="I28" s="20">
        <f>IF(F28&gt;0,C28/F28,"")</f>
        <v/>
      </c>
      <c r="J28" s="4" t="n"/>
      <c r="K28" s="4" t="n"/>
      <c r="L28" s="4" t="n"/>
    </row>
    <row r="29">
      <c r="A29" s="4" t="n"/>
      <c r="B29" s="4" t="n"/>
      <c r="C29" s="20" t="n"/>
      <c r="D29" s="4" t="n"/>
      <c r="E29" s="4" t="n"/>
      <c r="F29" s="4" t="n"/>
      <c r="G29" s="20">
        <f>IF(D29&gt;0,C29/D29,"")</f>
        <v/>
      </c>
      <c r="H29" s="20">
        <f>IF(E29&gt;0,C29/E29,"")</f>
        <v/>
      </c>
      <c r="I29" s="20">
        <f>IF(F29&gt;0,C29/F29,"")</f>
        <v/>
      </c>
      <c r="J29" s="4" t="n"/>
      <c r="K29" s="4" t="n"/>
      <c r="L29" s="4" t="n"/>
    </row>
    <row r="30">
      <c r="A30" s="4" t="n"/>
      <c r="B30" s="4" t="n"/>
      <c r="C30" s="20" t="n"/>
      <c r="D30" s="4" t="n"/>
      <c r="E30" s="4" t="n"/>
      <c r="F30" s="4" t="n"/>
      <c r="G30" s="20">
        <f>IF(D30&gt;0,C30/D30,"")</f>
        <v/>
      </c>
      <c r="H30" s="20">
        <f>IF(E30&gt;0,C30/E30,"")</f>
        <v/>
      </c>
      <c r="I30" s="20">
        <f>IF(F30&gt;0,C30/F30,"")</f>
        <v/>
      </c>
      <c r="J30" s="4" t="n"/>
      <c r="K30" s="4" t="n"/>
      <c r="L30" s="4" t="n"/>
    </row>
    <row r="31">
      <c r="A31" s="4" t="n"/>
      <c r="B31" s="4" t="n"/>
      <c r="C31" s="20" t="n"/>
      <c r="D31" s="4" t="n"/>
      <c r="E31" s="4" t="n"/>
      <c r="F31" s="4" t="n"/>
      <c r="G31" s="20">
        <f>IF(D31&gt;0,C31/D31,"")</f>
        <v/>
      </c>
      <c r="H31" s="20">
        <f>IF(E31&gt;0,C31/E31,"")</f>
        <v/>
      </c>
      <c r="I31" s="20">
        <f>IF(F31&gt;0,C31/F31,"")</f>
        <v/>
      </c>
      <c r="J31" s="4" t="n"/>
      <c r="K31" s="4" t="n"/>
      <c r="L31" s="4" t="n"/>
    </row>
    <row r="32">
      <c r="A32" s="4" t="n"/>
      <c r="B32" s="4" t="n"/>
      <c r="C32" s="20" t="n"/>
      <c r="D32" s="4" t="n"/>
      <c r="E32" s="4" t="n"/>
      <c r="F32" s="4" t="n"/>
      <c r="G32" s="20">
        <f>IF(D32&gt;0,C32/D32,"")</f>
        <v/>
      </c>
      <c r="H32" s="20">
        <f>IF(E32&gt;0,C32/E32,"")</f>
        <v/>
      </c>
      <c r="I32" s="20">
        <f>IF(F32&gt;0,C32/F32,"")</f>
        <v/>
      </c>
      <c r="J32" s="4" t="n"/>
      <c r="K32" s="4" t="n"/>
      <c r="L32" s="4" t="n"/>
    </row>
    <row r="33">
      <c r="A33" s="4" t="n"/>
      <c r="B33" s="4" t="n"/>
      <c r="C33" s="20" t="n"/>
      <c r="D33" s="4" t="n"/>
      <c r="E33" s="4" t="n"/>
      <c r="F33" s="4" t="n"/>
      <c r="G33" s="20">
        <f>IF(D33&gt;0,C33/D33,"")</f>
        <v/>
      </c>
      <c r="H33" s="20">
        <f>IF(E33&gt;0,C33/E33,"")</f>
        <v/>
      </c>
      <c r="I33" s="20">
        <f>IF(F33&gt;0,C33/F33,"")</f>
        <v/>
      </c>
      <c r="J33" s="4" t="n"/>
      <c r="K33" s="4" t="n"/>
      <c r="L33" s="4" t="n"/>
    </row>
    <row r="34">
      <c r="A34" s="4" t="n"/>
      <c r="B34" s="4" t="n"/>
      <c r="C34" s="20" t="n"/>
      <c r="D34" s="4" t="n"/>
      <c r="E34" s="4" t="n"/>
      <c r="F34" s="4" t="n"/>
      <c r="G34" s="20">
        <f>IF(D34&gt;0,C34/D34,"")</f>
        <v/>
      </c>
      <c r="H34" s="20">
        <f>IF(E34&gt;0,C34/E34,"")</f>
        <v/>
      </c>
      <c r="I34" s="20">
        <f>IF(F34&gt;0,C34/F34,"")</f>
        <v/>
      </c>
      <c r="J34" s="4" t="n"/>
      <c r="K34" s="4" t="n"/>
      <c r="L34" s="4" t="n"/>
    </row>
    <row r="35">
      <c r="A35" s="4" t="n"/>
      <c r="B35" s="4" t="n"/>
      <c r="C35" s="20" t="n"/>
      <c r="D35" s="4" t="n"/>
      <c r="E35" s="4" t="n"/>
      <c r="F35" s="4" t="n"/>
      <c r="G35" s="20">
        <f>IF(D35&gt;0,C35/D35,"")</f>
        <v/>
      </c>
      <c r="H35" s="20">
        <f>IF(E35&gt;0,C35/E35,"")</f>
        <v/>
      </c>
      <c r="I35" s="20">
        <f>IF(F35&gt;0,C35/F35,"")</f>
        <v/>
      </c>
      <c r="J35" s="4" t="n"/>
      <c r="K35" s="4" t="n"/>
      <c r="L35" s="4" t="n"/>
    </row>
    <row r="36">
      <c r="A36" s="4" t="n"/>
      <c r="B36" s="4" t="n"/>
      <c r="C36" s="20" t="n"/>
      <c r="D36" s="4" t="n"/>
      <c r="E36" s="4" t="n"/>
      <c r="F36" s="4" t="n"/>
      <c r="G36" s="20">
        <f>IF(D36&gt;0,C36/D36,"")</f>
        <v/>
      </c>
      <c r="H36" s="20">
        <f>IF(E36&gt;0,C36/E36,"")</f>
        <v/>
      </c>
      <c r="I36" s="20">
        <f>IF(F36&gt;0,C36/F36,"")</f>
        <v/>
      </c>
      <c r="J36" s="4" t="n"/>
      <c r="K36" s="4" t="n"/>
      <c r="L36" s="4" t="n"/>
    </row>
    <row r="37">
      <c r="A37" s="4" t="n"/>
      <c r="B37" s="4" t="n"/>
      <c r="C37" s="20" t="n"/>
      <c r="D37" s="4" t="n"/>
      <c r="E37" s="4" t="n"/>
      <c r="F37" s="4" t="n"/>
      <c r="G37" s="20">
        <f>IF(D37&gt;0,C37/D37,"")</f>
        <v/>
      </c>
      <c r="H37" s="20">
        <f>IF(E37&gt;0,C37/E37,"")</f>
        <v/>
      </c>
      <c r="I37" s="20">
        <f>IF(F37&gt;0,C37/F37,"")</f>
        <v/>
      </c>
      <c r="J37" s="4" t="n"/>
      <c r="K37" s="4" t="n"/>
      <c r="L37" s="4" t="n"/>
    </row>
    <row r="38">
      <c r="A38" s="4" t="n"/>
      <c r="B38" s="4" t="n"/>
      <c r="C38" s="20" t="n"/>
      <c r="D38" s="4" t="n"/>
      <c r="E38" s="4" t="n"/>
      <c r="F38" s="4" t="n"/>
      <c r="G38" s="20">
        <f>IF(D38&gt;0,C38/D38,"")</f>
        <v/>
      </c>
      <c r="H38" s="20">
        <f>IF(E38&gt;0,C38/E38,"")</f>
        <v/>
      </c>
      <c r="I38" s="20">
        <f>IF(F38&gt;0,C38/F38,"")</f>
        <v/>
      </c>
      <c r="J38" s="4" t="n"/>
      <c r="K38" s="4" t="n"/>
      <c r="L38" s="4" t="n"/>
    </row>
    <row r="39">
      <c r="A39" s="4" t="n"/>
      <c r="B39" s="4" t="n"/>
      <c r="C39" s="20" t="n"/>
      <c r="D39" s="4" t="n"/>
      <c r="E39" s="4" t="n"/>
      <c r="F39" s="4" t="n"/>
      <c r="G39" s="20">
        <f>IF(D39&gt;0,C39/D39,"")</f>
        <v/>
      </c>
      <c r="H39" s="20">
        <f>IF(E39&gt;0,C39/E39,"")</f>
        <v/>
      </c>
      <c r="I39" s="20">
        <f>IF(F39&gt;0,C39/F39,"")</f>
        <v/>
      </c>
      <c r="J39" s="4" t="n"/>
      <c r="K39" s="4" t="n"/>
      <c r="L39" s="4" t="n"/>
    </row>
    <row r="40">
      <c r="A40" s="4" t="n"/>
      <c r="B40" s="4" t="n"/>
      <c r="C40" s="20" t="n"/>
      <c r="D40" s="4" t="n"/>
      <c r="E40" s="4" t="n"/>
      <c r="F40" s="4" t="n"/>
      <c r="G40" s="20">
        <f>IF(D40&gt;0,C40/D40,"")</f>
        <v/>
      </c>
      <c r="H40" s="20">
        <f>IF(E40&gt;0,C40/E40,"")</f>
        <v/>
      </c>
      <c r="I40" s="20">
        <f>IF(F40&gt;0,C40/F40,"")</f>
        <v/>
      </c>
      <c r="J40" s="4" t="n"/>
      <c r="K40" s="4" t="n"/>
      <c r="L40" s="4" t="n"/>
    </row>
    <row r="41">
      <c r="A41" s="4" t="n"/>
      <c r="B41" s="4" t="n"/>
      <c r="C41" s="20" t="n"/>
      <c r="D41" s="4" t="n"/>
      <c r="E41" s="4" t="n"/>
      <c r="F41" s="4" t="n"/>
      <c r="G41" s="20">
        <f>IF(D41&gt;0,C41/D41,"")</f>
        <v/>
      </c>
      <c r="H41" s="20">
        <f>IF(E41&gt;0,C41/E41,"")</f>
        <v/>
      </c>
      <c r="I41" s="20">
        <f>IF(F41&gt;0,C41/F41,"")</f>
        <v/>
      </c>
      <c r="J41" s="4" t="n"/>
      <c r="K41" s="4" t="n"/>
      <c r="L41" s="4" t="n"/>
    </row>
    <row r="42">
      <c r="A42" s="4" t="n"/>
      <c r="B42" s="4" t="n"/>
      <c r="C42" s="20" t="n"/>
      <c r="D42" s="4" t="n"/>
      <c r="E42" s="4" t="n"/>
      <c r="F42" s="4" t="n"/>
      <c r="G42" s="20">
        <f>IF(D42&gt;0,C42/D42,"")</f>
        <v/>
      </c>
      <c r="H42" s="20">
        <f>IF(E42&gt;0,C42/E42,"")</f>
        <v/>
      </c>
      <c r="I42" s="20">
        <f>IF(F42&gt;0,C42/F42,"")</f>
        <v/>
      </c>
      <c r="J42" s="4" t="n"/>
      <c r="K42" s="4" t="n"/>
      <c r="L42" s="4" t="n"/>
    </row>
    <row r="43">
      <c r="A43" s="4" t="n"/>
      <c r="B43" s="4" t="n"/>
      <c r="C43" s="20" t="n"/>
      <c r="D43" s="4" t="n"/>
      <c r="E43" s="4" t="n"/>
      <c r="F43" s="4" t="n"/>
      <c r="G43" s="20">
        <f>IF(D43&gt;0,C43/D43,"")</f>
        <v/>
      </c>
      <c r="H43" s="20">
        <f>IF(E43&gt;0,C43/E43,"")</f>
        <v/>
      </c>
      <c r="I43" s="20">
        <f>IF(F43&gt;0,C43/F43,"")</f>
        <v/>
      </c>
      <c r="J43" s="4" t="n"/>
      <c r="K43" s="4" t="n"/>
      <c r="L43" s="4" t="n"/>
    </row>
    <row r="44">
      <c r="A44" s="4" t="n"/>
      <c r="B44" s="4" t="n"/>
      <c r="C44" s="20" t="n"/>
      <c r="D44" s="4" t="n"/>
      <c r="E44" s="4" t="n"/>
      <c r="F44" s="4" t="n"/>
      <c r="G44" s="20">
        <f>IF(D44&gt;0,C44/D44,"")</f>
        <v/>
      </c>
      <c r="H44" s="20">
        <f>IF(E44&gt;0,C44/E44,"")</f>
        <v/>
      </c>
      <c r="I44" s="20">
        <f>IF(F44&gt;0,C44/F44,"")</f>
        <v/>
      </c>
      <c r="J44" s="4" t="n"/>
      <c r="K44" s="4" t="n"/>
      <c r="L44" s="4" t="n"/>
    </row>
    <row r="45">
      <c r="A45" s="4" t="n"/>
      <c r="B45" s="4" t="n"/>
      <c r="C45" s="20" t="n"/>
      <c r="D45" s="4" t="n"/>
      <c r="E45" s="4" t="n"/>
      <c r="F45" s="4" t="n"/>
      <c r="G45" s="20">
        <f>IF(D45&gt;0,C45/D45,"")</f>
        <v/>
      </c>
      <c r="H45" s="20">
        <f>IF(E45&gt;0,C45/E45,"")</f>
        <v/>
      </c>
      <c r="I45" s="20">
        <f>IF(F45&gt;0,C45/F45,"")</f>
        <v/>
      </c>
      <c r="J45" s="4" t="n"/>
      <c r="K45" s="4" t="n"/>
      <c r="L45" s="4" t="n"/>
    </row>
    <row r="46">
      <c r="A46" s="4" t="n"/>
      <c r="B46" s="4" t="n"/>
      <c r="C46" s="20" t="n"/>
      <c r="D46" s="4" t="n"/>
      <c r="E46" s="4" t="n"/>
      <c r="F46" s="4" t="n"/>
      <c r="G46" s="20">
        <f>IF(D46&gt;0,C46/D46,"")</f>
        <v/>
      </c>
      <c r="H46" s="20">
        <f>IF(E46&gt;0,C46/E46,"")</f>
        <v/>
      </c>
      <c r="I46" s="20">
        <f>IF(F46&gt;0,C46/F46,"")</f>
        <v/>
      </c>
      <c r="J46" s="4" t="n"/>
      <c r="K46" s="4" t="n"/>
      <c r="L46" s="4" t="n"/>
    </row>
    <row r="47">
      <c r="A47" s="4" t="n"/>
      <c r="B47" s="4" t="n"/>
      <c r="C47" s="20" t="n"/>
      <c r="D47" s="4" t="n"/>
      <c r="E47" s="4" t="n"/>
      <c r="F47" s="4" t="n"/>
      <c r="G47" s="20">
        <f>IF(D47&gt;0,C47/D47,"")</f>
        <v/>
      </c>
      <c r="H47" s="20">
        <f>IF(E47&gt;0,C47/E47,"")</f>
        <v/>
      </c>
      <c r="I47" s="20">
        <f>IF(F47&gt;0,C47/F47,"")</f>
        <v/>
      </c>
      <c r="J47" s="4" t="n"/>
      <c r="K47" s="4" t="n"/>
      <c r="L47" s="4" t="n"/>
    </row>
    <row r="48">
      <c r="A48" s="4" t="n"/>
      <c r="B48" s="4" t="n"/>
      <c r="C48" s="20" t="n"/>
      <c r="D48" s="4" t="n"/>
      <c r="E48" s="4" t="n"/>
      <c r="F48" s="4" t="n"/>
      <c r="G48" s="20">
        <f>IF(D48&gt;0,C48/D48,"")</f>
        <v/>
      </c>
      <c r="H48" s="20">
        <f>IF(E48&gt;0,C48/E48,"")</f>
        <v/>
      </c>
      <c r="I48" s="20">
        <f>IF(F48&gt;0,C48/F48,"")</f>
        <v/>
      </c>
      <c r="J48" s="4" t="n"/>
      <c r="K48" s="4" t="n"/>
      <c r="L48" s="4" t="n"/>
    </row>
    <row r="49">
      <c r="A49" s="4" t="n"/>
      <c r="B49" s="4" t="n"/>
      <c r="C49" s="20" t="n"/>
      <c r="D49" s="4" t="n"/>
      <c r="E49" s="4" t="n"/>
      <c r="F49" s="4" t="n"/>
      <c r="G49" s="20">
        <f>IF(D49&gt;0,C49/D49,"")</f>
        <v/>
      </c>
      <c r="H49" s="20">
        <f>IF(E49&gt;0,C49/E49,"")</f>
        <v/>
      </c>
      <c r="I49" s="20">
        <f>IF(F49&gt;0,C49/F49,"")</f>
        <v/>
      </c>
      <c r="J49" s="4" t="n"/>
      <c r="K49" s="4" t="n"/>
      <c r="L49" s="4" t="n"/>
    </row>
    <row r="50">
      <c r="A50" s="4" t="n"/>
      <c r="B50" s="4" t="n"/>
      <c r="C50" s="20" t="n"/>
      <c r="D50" s="4" t="n"/>
      <c r="E50" s="4" t="n"/>
      <c r="F50" s="4" t="n"/>
      <c r="G50" s="20">
        <f>IF(D50&gt;0,C50/D50,"")</f>
        <v/>
      </c>
      <c r="H50" s="20">
        <f>IF(E50&gt;0,C50/E50,"")</f>
        <v/>
      </c>
      <c r="I50" s="20">
        <f>IF(F50&gt;0,C50/F50,"")</f>
        <v/>
      </c>
      <c r="J50" s="4" t="n"/>
      <c r="K50" s="4" t="n"/>
      <c r="L50" s="4" t="n"/>
    </row>
    <row r="51">
      <c r="A51" s="4" t="n"/>
      <c r="B51" s="4" t="n"/>
      <c r="C51" s="20" t="n"/>
      <c r="D51" s="4" t="n"/>
      <c r="E51" s="4" t="n"/>
      <c r="F51" s="4" t="n"/>
      <c r="G51" s="20">
        <f>IF(D51&gt;0,C51/D51,"")</f>
        <v/>
      </c>
      <c r="H51" s="20">
        <f>IF(E51&gt;0,C51/E51,"")</f>
        <v/>
      </c>
      <c r="I51" s="20">
        <f>IF(F51&gt;0,C51/F51,"")</f>
        <v/>
      </c>
      <c r="J51" s="4" t="n"/>
      <c r="K51" s="4" t="n"/>
      <c r="L51" s="4" t="n"/>
    </row>
    <row r="52">
      <c r="A52" s="4" t="n"/>
      <c r="B52" s="4" t="n"/>
      <c r="C52" s="20" t="n"/>
      <c r="D52" s="4" t="n"/>
      <c r="E52" s="4" t="n"/>
      <c r="F52" s="4" t="n"/>
      <c r="G52" s="20">
        <f>IF(D52&gt;0,C52/D52,"")</f>
        <v/>
      </c>
      <c r="H52" s="20">
        <f>IF(E52&gt;0,C52/E52,"")</f>
        <v/>
      </c>
      <c r="I52" s="20">
        <f>IF(F52&gt;0,C52/F52,"")</f>
        <v/>
      </c>
      <c r="J52" s="4" t="n"/>
      <c r="K52" s="4" t="n"/>
      <c r="L52" s="4" t="n"/>
    </row>
    <row r="53">
      <c r="A53" s="4" t="n"/>
      <c r="B53" s="4" t="n"/>
      <c r="C53" s="20" t="n"/>
      <c r="D53" s="4" t="n"/>
      <c r="E53" s="4" t="n"/>
      <c r="F53" s="4" t="n"/>
      <c r="G53" s="20">
        <f>IF(D53&gt;0,C53/D53,"")</f>
        <v/>
      </c>
      <c r="H53" s="20">
        <f>IF(E53&gt;0,C53/E53,"")</f>
        <v/>
      </c>
      <c r="I53" s="20">
        <f>IF(F53&gt;0,C53/F53,"")</f>
        <v/>
      </c>
      <c r="J53" s="4" t="n"/>
      <c r="K53" s="4" t="n"/>
      <c r="L53" s="4" t="n"/>
    </row>
    <row r="54">
      <c r="A54" s="4" t="n"/>
      <c r="B54" s="4" t="n"/>
      <c r="C54" s="20" t="n"/>
      <c r="D54" s="4" t="n"/>
      <c r="E54" s="4" t="n"/>
      <c r="F54" s="4" t="n"/>
      <c r="G54" s="20">
        <f>IF(D54&gt;0,C54/D54,"")</f>
        <v/>
      </c>
      <c r="H54" s="20">
        <f>IF(E54&gt;0,C54/E54,"")</f>
        <v/>
      </c>
      <c r="I54" s="20">
        <f>IF(F54&gt;0,C54/F54,"")</f>
        <v/>
      </c>
      <c r="J54" s="4" t="n"/>
      <c r="K54" s="4" t="n"/>
      <c r="L54" s="4" t="n"/>
    </row>
    <row r="55">
      <c r="A55" s="4" t="n"/>
      <c r="B55" s="4" t="n"/>
      <c r="C55" s="20" t="n"/>
      <c r="D55" s="4" t="n"/>
      <c r="E55" s="4" t="n"/>
      <c r="F55" s="4" t="n"/>
      <c r="G55" s="20">
        <f>IF(D55&gt;0,C55/D55,"")</f>
        <v/>
      </c>
      <c r="H55" s="20">
        <f>IF(E55&gt;0,C55/E55,"")</f>
        <v/>
      </c>
      <c r="I55" s="20">
        <f>IF(F55&gt;0,C55/F55,"")</f>
        <v/>
      </c>
      <c r="J55" s="4" t="n"/>
      <c r="K55" s="4" t="n"/>
      <c r="L55" s="4" t="n"/>
    </row>
    <row r="56">
      <c r="A56" s="4" t="n"/>
      <c r="B56" s="4" t="n"/>
      <c r="C56" s="20" t="n"/>
      <c r="D56" s="4" t="n"/>
      <c r="E56" s="4" t="n"/>
      <c r="F56" s="4" t="n"/>
      <c r="G56" s="20">
        <f>IF(D56&gt;0,C56/D56,"")</f>
        <v/>
      </c>
      <c r="H56" s="20">
        <f>IF(E56&gt;0,C56/E56,"")</f>
        <v/>
      </c>
      <c r="I56" s="20">
        <f>IF(F56&gt;0,C56/F56,"")</f>
        <v/>
      </c>
      <c r="J56" s="4" t="n"/>
      <c r="K56" s="4" t="n"/>
      <c r="L56" s="4" t="n"/>
    </row>
    <row r="57">
      <c r="A57" s="4" t="n"/>
      <c r="B57" s="4" t="n"/>
      <c r="C57" s="20" t="n"/>
      <c r="D57" s="4" t="n"/>
      <c r="E57" s="4" t="n"/>
      <c r="F57" s="4" t="n"/>
      <c r="G57" s="20">
        <f>IF(D57&gt;0,C57/D57,"")</f>
        <v/>
      </c>
      <c r="H57" s="20">
        <f>IF(E57&gt;0,C57/E57,"")</f>
        <v/>
      </c>
      <c r="I57" s="20">
        <f>IF(F57&gt;0,C57/F57,"")</f>
        <v/>
      </c>
      <c r="J57" s="4" t="n"/>
      <c r="K57" s="4" t="n"/>
      <c r="L57" s="4" t="n"/>
    </row>
    <row r="58">
      <c r="A58" s="4" t="n"/>
      <c r="B58" s="4" t="n"/>
      <c r="C58" s="20" t="n"/>
      <c r="D58" s="4" t="n"/>
      <c r="E58" s="4" t="n"/>
      <c r="F58" s="4" t="n"/>
      <c r="G58" s="20">
        <f>IF(D58&gt;0,C58/D58,"")</f>
        <v/>
      </c>
      <c r="H58" s="20">
        <f>IF(E58&gt;0,C58/E58,"")</f>
        <v/>
      </c>
      <c r="I58" s="20">
        <f>IF(F58&gt;0,C58/F58,"")</f>
        <v/>
      </c>
      <c r="J58" s="4" t="n"/>
      <c r="K58" s="4" t="n"/>
      <c r="L58" s="4" t="n"/>
    </row>
    <row r="59">
      <c r="A59" s="4" t="n"/>
      <c r="B59" s="4" t="n"/>
      <c r="C59" s="20" t="n"/>
      <c r="D59" s="4" t="n"/>
      <c r="E59" s="4" t="n"/>
      <c r="F59" s="4" t="n"/>
      <c r="G59" s="20">
        <f>IF(D59&gt;0,C59/D59,"")</f>
        <v/>
      </c>
      <c r="H59" s="20">
        <f>IF(E59&gt;0,C59/E59,"")</f>
        <v/>
      </c>
      <c r="I59" s="20">
        <f>IF(F59&gt;0,C59/F59,"")</f>
        <v/>
      </c>
      <c r="J59" s="4" t="n"/>
      <c r="K59" s="4" t="n"/>
      <c r="L59" s="4" t="n"/>
    </row>
    <row r="60">
      <c r="A60" s="4" t="n"/>
      <c r="B60" s="4" t="n"/>
      <c r="C60" s="20" t="n"/>
      <c r="D60" s="4" t="n"/>
      <c r="E60" s="4" t="n"/>
      <c r="F60" s="4" t="n"/>
      <c r="G60" s="20">
        <f>IF(D60&gt;0,C60/D60,"")</f>
        <v/>
      </c>
      <c r="H60" s="20">
        <f>IF(E60&gt;0,C60/E60,"")</f>
        <v/>
      </c>
      <c r="I60" s="20">
        <f>IF(F60&gt;0,C60/F60,"")</f>
        <v/>
      </c>
      <c r="J60" s="4" t="n"/>
      <c r="K60" s="4" t="n"/>
      <c r="L60" s="4" t="n"/>
    </row>
    <row r="61">
      <c r="A61" s="4" t="n"/>
      <c r="B61" s="4" t="n"/>
      <c r="C61" s="20" t="n"/>
      <c r="D61" s="4" t="n"/>
      <c r="E61" s="4" t="n"/>
      <c r="F61" s="4" t="n"/>
      <c r="G61" s="20">
        <f>IF(D61&gt;0,C61/D61,"")</f>
        <v/>
      </c>
      <c r="H61" s="20">
        <f>IF(E61&gt;0,C61/E61,"")</f>
        <v/>
      </c>
      <c r="I61" s="20">
        <f>IF(F61&gt;0,C61/F61,"")</f>
        <v/>
      </c>
      <c r="J61" s="4" t="n"/>
      <c r="K61" s="4" t="n"/>
      <c r="L61" s="4" t="n"/>
    </row>
    <row r="62">
      <c r="A62" s="4" t="n"/>
      <c r="B62" s="4" t="n"/>
      <c r="C62" s="20" t="n"/>
      <c r="D62" s="4" t="n"/>
      <c r="E62" s="4" t="n"/>
      <c r="F62" s="4" t="n"/>
      <c r="G62" s="20">
        <f>IF(D62&gt;0,C62/D62,"")</f>
        <v/>
      </c>
      <c r="H62" s="20">
        <f>IF(E62&gt;0,C62/E62,"")</f>
        <v/>
      </c>
      <c r="I62" s="20">
        <f>IF(F62&gt;0,C62/F62,"")</f>
        <v/>
      </c>
      <c r="J62" s="4" t="n"/>
      <c r="K62" s="4" t="n"/>
      <c r="L62" s="4" t="n"/>
    </row>
    <row r="63">
      <c r="A63" s="4" t="n"/>
      <c r="B63" s="4" t="n"/>
      <c r="C63" s="20" t="n"/>
      <c r="D63" s="4" t="n"/>
      <c r="E63" s="4" t="n"/>
      <c r="F63" s="4" t="n"/>
      <c r="G63" s="20">
        <f>IF(D63&gt;0,C63/D63,"")</f>
        <v/>
      </c>
      <c r="H63" s="20">
        <f>IF(E63&gt;0,C63/E63,"")</f>
        <v/>
      </c>
      <c r="I63" s="20">
        <f>IF(F63&gt;0,C63/F63,"")</f>
        <v/>
      </c>
      <c r="J63" s="4" t="n"/>
      <c r="K63" s="4" t="n"/>
      <c r="L63" s="4" t="n"/>
    </row>
    <row r="64">
      <c r="A64" s="4" t="n"/>
      <c r="B64" s="4" t="n"/>
      <c r="C64" s="20" t="n"/>
      <c r="D64" s="4" t="n"/>
      <c r="E64" s="4" t="n"/>
      <c r="F64" s="4" t="n"/>
      <c r="G64" s="20">
        <f>IF(D64&gt;0,C64/D64,"")</f>
        <v/>
      </c>
      <c r="H64" s="20">
        <f>IF(E64&gt;0,C64/E64,"")</f>
        <v/>
      </c>
      <c r="I64" s="20">
        <f>IF(F64&gt;0,C64/F64,"")</f>
        <v/>
      </c>
      <c r="J64" s="4" t="n"/>
      <c r="K64" s="4" t="n"/>
      <c r="L64" s="4" t="n"/>
    </row>
    <row r="65">
      <c r="A65" s="4" t="n"/>
      <c r="B65" s="4" t="n"/>
      <c r="C65" s="20" t="n"/>
      <c r="D65" s="4" t="n"/>
      <c r="E65" s="4" t="n"/>
      <c r="F65" s="4" t="n"/>
      <c r="G65" s="20">
        <f>IF(D65&gt;0,C65/D65,"")</f>
        <v/>
      </c>
      <c r="H65" s="20">
        <f>IF(E65&gt;0,C65/E65,"")</f>
        <v/>
      </c>
      <c r="I65" s="20">
        <f>IF(F65&gt;0,C65/F65,"")</f>
        <v/>
      </c>
      <c r="J65" s="4" t="n"/>
      <c r="K65" s="4" t="n"/>
      <c r="L65" s="4" t="n"/>
    </row>
    <row r="66">
      <c r="A66" s="4" t="n"/>
      <c r="B66" s="4" t="n"/>
      <c r="C66" s="20" t="n"/>
      <c r="D66" s="4" t="n"/>
      <c r="E66" s="4" t="n"/>
      <c r="F66" s="4" t="n"/>
      <c r="G66" s="20">
        <f>IF(D66&gt;0,C66/D66,"")</f>
        <v/>
      </c>
      <c r="H66" s="20">
        <f>IF(E66&gt;0,C66/E66,"")</f>
        <v/>
      </c>
      <c r="I66" s="20">
        <f>IF(F66&gt;0,C66/F66,"")</f>
        <v/>
      </c>
      <c r="J66" s="4" t="n"/>
      <c r="K66" s="4" t="n"/>
      <c r="L66" s="4" t="n"/>
    </row>
    <row r="67">
      <c r="A67" s="4" t="n"/>
      <c r="B67" s="4" t="n"/>
      <c r="C67" s="20" t="n"/>
      <c r="D67" s="4" t="n"/>
      <c r="E67" s="4" t="n"/>
      <c r="F67" s="4" t="n"/>
      <c r="G67" s="20">
        <f>IF(D67&gt;0,C67/D67,"")</f>
        <v/>
      </c>
      <c r="H67" s="20">
        <f>IF(E67&gt;0,C67/E67,"")</f>
        <v/>
      </c>
      <c r="I67" s="20">
        <f>IF(F67&gt;0,C67/F67,"")</f>
        <v/>
      </c>
      <c r="J67" s="4" t="n"/>
      <c r="K67" s="4" t="n"/>
      <c r="L67" s="4" t="n"/>
    </row>
    <row r="68">
      <c r="A68" s="4" t="n"/>
      <c r="B68" s="4" t="n"/>
      <c r="C68" s="20" t="n"/>
      <c r="D68" s="4" t="n"/>
      <c r="E68" s="4" t="n"/>
      <c r="F68" s="4" t="n"/>
      <c r="G68" s="20">
        <f>IF(D68&gt;0,C68/D68,"")</f>
        <v/>
      </c>
      <c r="H68" s="20">
        <f>IF(E68&gt;0,C68/E68,"")</f>
        <v/>
      </c>
      <c r="I68" s="20">
        <f>IF(F68&gt;0,C68/F68,"")</f>
        <v/>
      </c>
      <c r="J68" s="4" t="n"/>
      <c r="K68" s="4" t="n"/>
      <c r="L68" s="4" t="n"/>
    </row>
    <row r="69">
      <c r="A69" s="4" t="n"/>
      <c r="B69" s="4" t="n"/>
      <c r="C69" s="20" t="n"/>
      <c r="D69" s="4" t="n"/>
      <c r="E69" s="4" t="n"/>
      <c r="F69" s="4" t="n"/>
      <c r="G69" s="20">
        <f>IF(D69&gt;0,C69/D69,"")</f>
        <v/>
      </c>
      <c r="H69" s="20">
        <f>IF(E69&gt;0,C69/E69,"")</f>
        <v/>
      </c>
      <c r="I69" s="20">
        <f>IF(F69&gt;0,C69/F69,"")</f>
        <v/>
      </c>
      <c r="J69" s="4" t="n"/>
      <c r="K69" s="4" t="n"/>
      <c r="L69" s="4" t="n"/>
    </row>
    <row r="70">
      <c r="A70" s="4" t="n"/>
      <c r="B70" s="4" t="n"/>
      <c r="C70" s="20" t="n"/>
      <c r="D70" s="4" t="n"/>
      <c r="E70" s="4" t="n"/>
      <c r="F70" s="4" t="n"/>
      <c r="G70" s="20">
        <f>IF(D70&gt;0,C70/D70,"")</f>
        <v/>
      </c>
      <c r="H70" s="20">
        <f>IF(E70&gt;0,C70/E70,"")</f>
        <v/>
      </c>
      <c r="I70" s="20">
        <f>IF(F70&gt;0,C70/F70,"")</f>
        <v/>
      </c>
      <c r="J70" s="4" t="n"/>
      <c r="K70" s="4" t="n"/>
      <c r="L70" s="4" t="n"/>
    </row>
    <row r="71">
      <c r="A71" s="4" t="n"/>
      <c r="B71" s="4" t="n"/>
      <c r="C71" s="20" t="n"/>
      <c r="D71" s="4" t="n"/>
      <c r="E71" s="4" t="n"/>
      <c r="F71" s="4" t="n"/>
      <c r="G71" s="20">
        <f>IF(D71&gt;0,C71/D71,"")</f>
        <v/>
      </c>
      <c r="H71" s="20">
        <f>IF(E71&gt;0,C71/E71,"")</f>
        <v/>
      </c>
      <c r="I71" s="20">
        <f>IF(F71&gt;0,C71/F71,"")</f>
        <v/>
      </c>
      <c r="J71" s="4" t="n"/>
      <c r="K71" s="4" t="n"/>
      <c r="L71" s="4" t="n"/>
    </row>
    <row r="72">
      <c r="A72" s="4" t="n"/>
      <c r="B72" s="4" t="n"/>
      <c r="C72" s="20" t="n"/>
      <c r="D72" s="4" t="n"/>
      <c r="E72" s="4" t="n"/>
      <c r="F72" s="4" t="n"/>
      <c r="G72" s="20">
        <f>IF(D72&gt;0,C72/D72,"")</f>
        <v/>
      </c>
      <c r="H72" s="20">
        <f>IF(E72&gt;0,C72/E72,"")</f>
        <v/>
      </c>
      <c r="I72" s="20">
        <f>IF(F72&gt;0,C72/F72,"")</f>
        <v/>
      </c>
      <c r="J72" s="4" t="n"/>
      <c r="K72" s="4" t="n"/>
      <c r="L72" s="4" t="n"/>
    </row>
    <row r="73">
      <c r="A73" s="4" t="n"/>
      <c r="B73" s="4" t="n"/>
      <c r="C73" s="20" t="n"/>
      <c r="D73" s="4" t="n"/>
      <c r="E73" s="4" t="n"/>
      <c r="F73" s="4" t="n"/>
      <c r="G73" s="20">
        <f>IF(D73&gt;0,C73/D73,"")</f>
        <v/>
      </c>
      <c r="H73" s="20">
        <f>IF(E73&gt;0,C73/E73,"")</f>
        <v/>
      </c>
      <c r="I73" s="20">
        <f>IF(F73&gt;0,C73/F73,"")</f>
        <v/>
      </c>
      <c r="J73" s="4" t="n"/>
      <c r="K73" s="4" t="n"/>
      <c r="L73" s="4" t="n"/>
    </row>
    <row r="74">
      <c r="A74" s="4" t="n"/>
      <c r="B74" s="4" t="n"/>
      <c r="C74" s="20" t="n"/>
      <c r="D74" s="4" t="n"/>
      <c r="E74" s="4" t="n"/>
      <c r="F74" s="4" t="n"/>
      <c r="G74" s="20">
        <f>IF(D74&gt;0,C74/D74,"")</f>
        <v/>
      </c>
      <c r="H74" s="20">
        <f>IF(E74&gt;0,C74/E74,"")</f>
        <v/>
      </c>
      <c r="I74" s="20">
        <f>IF(F74&gt;0,C74/F74,"")</f>
        <v/>
      </c>
      <c r="J74" s="4" t="n"/>
      <c r="K74" s="4" t="n"/>
      <c r="L74" s="4" t="n"/>
    </row>
    <row r="75">
      <c r="A75" s="4" t="n"/>
      <c r="B75" s="4" t="n"/>
      <c r="C75" s="20" t="n"/>
      <c r="D75" s="4" t="n"/>
      <c r="E75" s="4" t="n"/>
      <c r="F75" s="4" t="n"/>
      <c r="G75" s="20">
        <f>IF(D75&gt;0,C75/D75,"")</f>
        <v/>
      </c>
      <c r="H75" s="20">
        <f>IF(E75&gt;0,C75/E75,"")</f>
        <v/>
      </c>
      <c r="I75" s="20">
        <f>IF(F75&gt;0,C75/F75,"")</f>
        <v/>
      </c>
      <c r="J75" s="4" t="n"/>
      <c r="K75" s="4" t="n"/>
      <c r="L75" s="4" t="n"/>
    </row>
    <row r="76">
      <c r="A76" s="4" t="n"/>
      <c r="B76" s="4" t="n"/>
      <c r="C76" s="20" t="n"/>
      <c r="D76" s="4" t="n"/>
      <c r="E76" s="4" t="n"/>
      <c r="F76" s="4" t="n"/>
      <c r="G76" s="20">
        <f>IF(D76&gt;0,C76/D76,"")</f>
        <v/>
      </c>
      <c r="H76" s="20">
        <f>IF(E76&gt;0,C76/E76,"")</f>
        <v/>
      </c>
      <c r="I76" s="20">
        <f>IF(F76&gt;0,C76/F76,"")</f>
        <v/>
      </c>
      <c r="J76" s="4" t="n"/>
      <c r="K76" s="4" t="n"/>
      <c r="L76" s="4" t="n"/>
    </row>
    <row r="77">
      <c r="A77" s="4" t="n"/>
      <c r="B77" s="4" t="n"/>
      <c r="C77" s="20" t="n"/>
      <c r="D77" s="4" t="n"/>
      <c r="E77" s="4" t="n"/>
      <c r="F77" s="4" t="n"/>
      <c r="G77" s="20">
        <f>IF(D77&gt;0,C77/D77,"")</f>
        <v/>
      </c>
      <c r="H77" s="20">
        <f>IF(E77&gt;0,C77/E77,"")</f>
        <v/>
      </c>
      <c r="I77" s="20">
        <f>IF(F77&gt;0,C77/F77,"")</f>
        <v/>
      </c>
      <c r="J77" s="4" t="n"/>
      <c r="K77" s="4" t="n"/>
      <c r="L77" s="4" t="n"/>
    </row>
    <row r="78">
      <c r="A78" s="4" t="n"/>
      <c r="B78" s="4" t="n"/>
      <c r="C78" s="20" t="n"/>
      <c r="D78" s="4" t="n"/>
      <c r="E78" s="4" t="n"/>
      <c r="F78" s="4" t="n"/>
      <c r="G78" s="20">
        <f>IF(D78&gt;0,C78/D78,"")</f>
        <v/>
      </c>
      <c r="H78" s="20">
        <f>IF(E78&gt;0,C78/E78,"")</f>
        <v/>
      </c>
      <c r="I78" s="20">
        <f>IF(F78&gt;0,C78/F78,"")</f>
        <v/>
      </c>
      <c r="J78" s="4" t="n"/>
      <c r="K78" s="4" t="n"/>
      <c r="L78" s="4" t="n"/>
    </row>
    <row r="79">
      <c r="A79" s="4" t="n"/>
      <c r="B79" s="4" t="n"/>
      <c r="C79" s="20" t="n"/>
      <c r="D79" s="4" t="n"/>
      <c r="E79" s="4" t="n"/>
      <c r="F79" s="4" t="n"/>
      <c r="G79" s="20">
        <f>IF(D79&gt;0,C79/D79,"")</f>
        <v/>
      </c>
      <c r="H79" s="20">
        <f>IF(E79&gt;0,C79/E79,"")</f>
        <v/>
      </c>
      <c r="I79" s="20">
        <f>IF(F79&gt;0,C79/F79,"")</f>
        <v/>
      </c>
      <c r="J79" s="4" t="n"/>
      <c r="K79" s="4" t="n"/>
      <c r="L79" s="4" t="n"/>
    </row>
    <row r="80">
      <c r="A80" s="4" t="n"/>
      <c r="B80" s="4" t="n"/>
      <c r="C80" s="20" t="n"/>
      <c r="D80" s="4" t="n"/>
      <c r="E80" s="4" t="n"/>
      <c r="F80" s="4" t="n"/>
      <c r="G80" s="20">
        <f>IF(D80&gt;0,C80/D80,"")</f>
        <v/>
      </c>
      <c r="H80" s="20">
        <f>IF(E80&gt;0,C80/E80,"")</f>
        <v/>
      </c>
      <c r="I80" s="20">
        <f>IF(F80&gt;0,C80/F80,"")</f>
        <v/>
      </c>
      <c r="J80" s="4" t="n"/>
      <c r="K80" s="4" t="n"/>
      <c r="L80" s="4" t="n"/>
    </row>
    <row r="81">
      <c r="A81" s="4" t="n"/>
      <c r="B81" s="4" t="n"/>
      <c r="C81" s="20" t="n"/>
      <c r="D81" s="4" t="n"/>
      <c r="E81" s="4" t="n"/>
      <c r="F81" s="4" t="n"/>
      <c r="G81" s="20">
        <f>IF(D81&gt;0,C81/D81,"")</f>
        <v/>
      </c>
      <c r="H81" s="20">
        <f>IF(E81&gt;0,C81/E81,"")</f>
        <v/>
      </c>
      <c r="I81" s="20">
        <f>IF(F81&gt;0,C81/F81,"")</f>
        <v/>
      </c>
      <c r="J81" s="4" t="n"/>
      <c r="K81" s="4" t="n"/>
      <c r="L81" s="4" t="n"/>
    </row>
    <row r="82">
      <c r="A82" s="4" t="n"/>
      <c r="B82" s="4" t="n"/>
      <c r="C82" s="20" t="n"/>
      <c r="D82" s="4" t="n"/>
      <c r="E82" s="4" t="n"/>
      <c r="F82" s="4" t="n"/>
      <c r="G82" s="20">
        <f>IF(D82&gt;0,C82/D82,"")</f>
        <v/>
      </c>
      <c r="H82" s="20">
        <f>IF(E82&gt;0,C82/E82,"")</f>
        <v/>
      </c>
      <c r="I82" s="20">
        <f>IF(F82&gt;0,C82/F82,"")</f>
        <v/>
      </c>
      <c r="J82" s="4" t="n"/>
      <c r="K82" s="4" t="n"/>
      <c r="L82" s="4" t="n"/>
    </row>
    <row r="83">
      <c r="A83" s="4" t="n"/>
      <c r="B83" s="4" t="n"/>
      <c r="C83" s="20" t="n"/>
      <c r="D83" s="4" t="n"/>
      <c r="E83" s="4" t="n"/>
      <c r="F83" s="4" t="n"/>
      <c r="G83" s="20">
        <f>IF(D83&gt;0,C83/D83,"")</f>
        <v/>
      </c>
      <c r="H83" s="20">
        <f>IF(E83&gt;0,C83/E83,"")</f>
        <v/>
      </c>
      <c r="I83" s="20">
        <f>IF(F83&gt;0,C83/F83,"")</f>
        <v/>
      </c>
      <c r="J83" s="4" t="n"/>
      <c r="K83" s="4" t="n"/>
      <c r="L83" s="4" t="n"/>
    </row>
    <row r="84">
      <c r="A84" s="4" t="n"/>
      <c r="B84" s="4" t="n"/>
      <c r="C84" s="20" t="n"/>
      <c r="D84" s="4" t="n"/>
      <c r="E84" s="4" t="n"/>
      <c r="F84" s="4" t="n"/>
      <c r="G84" s="20">
        <f>IF(D84&gt;0,C84/D84,"")</f>
        <v/>
      </c>
      <c r="H84" s="20">
        <f>IF(E84&gt;0,C84/E84,"")</f>
        <v/>
      </c>
      <c r="I84" s="20">
        <f>IF(F84&gt;0,C84/F84,"")</f>
        <v/>
      </c>
      <c r="J84" s="4" t="n"/>
      <c r="K84" s="4" t="n"/>
      <c r="L84" s="4" t="n"/>
    </row>
    <row r="85">
      <c r="A85" s="4" t="n"/>
      <c r="B85" s="4" t="n"/>
      <c r="C85" s="20" t="n"/>
      <c r="D85" s="4" t="n"/>
      <c r="E85" s="4" t="n"/>
      <c r="F85" s="4" t="n"/>
      <c r="G85" s="20">
        <f>IF(D85&gt;0,C85/D85,"")</f>
        <v/>
      </c>
      <c r="H85" s="20">
        <f>IF(E85&gt;0,C85/E85,"")</f>
        <v/>
      </c>
      <c r="I85" s="20">
        <f>IF(F85&gt;0,C85/F85,"")</f>
        <v/>
      </c>
      <c r="J85" s="4" t="n"/>
      <c r="K85" s="4" t="n"/>
      <c r="L85" s="4" t="n"/>
    </row>
    <row r="86">
      <c r="A86" s="4" t="n"/>
      <c r="B86" s="4" t="n"/>
      <c r="C86" s="20" t="n"/>
      <c r="D86" s="4" t="n"/>
      <c r="E86" s="4" t="n"/>
      <c r="F86" s="4" t="n"/>
      <c r="G86" s="20">
        <f>IF(D86&gt;0,C86/D86,"")</f>
        <v/>
      </c>
      <c r="H86" s="20">
        <f>IF(E86&gt;0,C86/E86,"")</f>
        <v/>
      </c>
      <c r="I86" s="20">
        <f>IF(F86&gt;0,C86/F86,"")</f>
        <v/>
      </c>
      <c r="J86" s="4" t="n"/>
      <c r="K86" s="4" t="n"/>
      <c r="L86" s="4" t="n"/>
    </row>
    <row r="87">
      <c r="A87" s="4" t="n"/>
      <c r="B87" s="4" t="n"/>
      <c r="C87" s="20" t="n"/>
      <c r="D87" s="4" t="n"/>
      <c r="E87" s="4" t="n"/>
      <c r="F87" s="4" t="n"/>
      <c r="G87" s="20">
        <f>IF(D87&gt;0,C87/D87,"")</f>
        <v/>
      </c>
      <c r="H87" s="20">
        <f>IF(E87&gt;0,C87/E87,"")</f>
        <v/>
      </c>
      <c r="I87" s="20">
        <f>IF(F87&gt;0,C87/F87,"")</f>
        <v/>
      </c>
      <c r="J87" s="4" t="n"/>
      <c r="K87" s="4" t="n"/>
      <c r="L87" s="4" t="n"/>
    </row>
    <row r="88">
      <c r="A88" s="4" t="n"/>
      <c r="B88" s="4" t="n"/>
      <c r="C88" s="20" t="n"/>
      <c r="D88" s="4" t="n"/>
      <c r="E88" s="4" t="n"/>
      <c r="F88" s="4" t="n"/>
      <c r="G88" s="20">
        <f>IF(D88&gt;0,C88/D88,"")</f>
        <v/>
      </c>
      <c r="H88" s="20">
        <f>IF(E88&gt;0,C88/E88,"")</f>
        <v/>
      </c>
      <c r="I88" s="20">
        <f>IF(F88&gt;0,C88/F88,"")</f>
        <v/>
      </c>
      <c r="J88" s="4" t="n"/>
      <c r="K88" s="4" t="n"/>
      <c r="L88" s="4" t="n"/>
    </row>
    <row r="89">
      <c r="A89" s="4" t="n"/>
      <c r="B89" s="4" t="n"/>
      <c r="C89" s="20" t="n"/>
      <c r="D89" s="4" t="n"/>
      <c r="E89" s="4" t="n"/>
      <c r="F89" s="4" t="n"/>
      <c r="G89" s="20">
        <f>IF(D89&gt;0,C89/D89,"")</f>
        <v/>
      </c>
      <c r="H89" s="20">
        <f>IF(E89&gt;0,C89/E89,"")</f>
        <v/>
      </c>
      <c r="I89" s="20">
        <f>IF(F89&gt;0,C89/F89,"")</f>
        <v/>
      </c>
      <c r="J89" s="4" t="n"/>
      <c r="K89" s="4" t="n"/>
      <c r="L89" s="4" t="n"/>
    </row>
    <row r="90">
      <c r="A90" s="4" t="n"/>
      <c r="B90" s="4" t="n"/>
      <c r="C90" s="20" t="n"/>
      <c r="D90" s="4" t="n"/>
      <c r="E90" s="4" t="n"/>
      <c r="F90" s="4" t="n"/>
      <c r="G90" s="20">
        <f>IF(D90&gt;0,C90/D90,"")</f>
        <v/>
      </c>
      <c r="H90" s="20">
        <f>IF(E90&gt;0,C90/E90,"")</f>
        <v/>
      </c>
      <c r="I90" s="20">
        <f>IF(F90&gt;0,C90/F90,"")</f>
        <v/>
      </c>
      <c r="J90" s="4" t="n"/>
      <c r="K90" s="4" t="n"/>
      <c r="L90" s="4" t="n"/>
    </row>
    <row r="91">
      <c r="A91" s="4" t="n"/>
      <c r="B91" s="4" t="n"/>
      <c r="C91" s="20" t="n"/>
      <c r="D91" s="4" t="n"/>
      <c r="E91" s="4" t="n"/>
      <c r="F91" s="4" t="n"/>
      <c r="G91" s="20">
        <f>IF(D91&gt;0,C91/D91,"")</f>
        <v/>
      </c>
      <c r="H91" s="20">
        <f>IF(E91&gt;0,C91/E91,"")</f>
        <v/>
      </c>
      <c r="I91" s="20">
        <f>IF(F91&gt;0,C91/F91,"")</f>
        <v/>
      </c>
      <c r="J91" s="4" t="n"/>
      <c r="K91" s="4" t="n"/>
      <c r="L91" s="4" t="n"/>
    </row>
    <row r="92">
      <c r="A92" s="4" t="n"/>
      <c r="B92" s="4" t="n"/>
      <c r="C92" s="20" t="n"/>
      <c r="D92" s="4" t="n"/>
      <c r="E92" s="4" t="n"/>
      <c r="F92" s="4" t="n"/>
      <c r="G92" s="20">
        <f>IF(D92&gt;0,C92/D92,"")</f>
        <v/>
      </c>
      <c r="H92" s="20">
        <f>IF(E92&gt;0,C92/E92,"")</f>
        <v/>
      </c>
      <c r="I92" s="20">
        <f>IF(F92&gt;0,C92/F92,"")</f>
        <v/>
      </c>
      <c r="J92" s="4" t="n"/>
      <c r="K92" s="4" t="n"/>
      <c r="L92" s="4" t="n"/>
    </row>
    <row r="93">
      <c r="A93" s="4" t="n"/>
      <c r="B93" s="4" t="n"/>
      <c r="C93" s="20" t="n"/>
      <c r="D93" s="4" t="n"/>
      <c r="E93" s="4" t="n"/>
      <c r="F93" s="4" t="n"/>
      <c r="G93" s="20">
        <f>IF(D93&gt;0,C93/D93,"")</f>
        <v/>
      </c>
      <c r="H93" s="20">
        <f>IF(E93&gt;0,C93/E93,"")</f>
        <v/>
      </c>
      <c r="I93" s="20">
        <f>IF(F93&gt;0,C93/F93,"")</f>
        <v/>
      </c>
      <c r="J93" s="4" t="n"/>
      <c r="K93" s="4" t="n"/>
      <c r="L93" s="4" t="n"/>
    </row>
    <row r="94">
      <c r="A94" s="4" t="n"/>
      <c r="B94" s="4" t="n"/>
      <c r="C94" s="20" t="n"/>
      <c r="D94" s="4" t="n"/>
      <c r="E94" s="4" t="n"/>
      <c r="F94" s="4" t="n"/>
      <c r="G94" s="20">
        <f>IF(D94&gt;0,C94/D94,"")</f>
        <v/>
      </c>
      <c r="H94" s="20">
        <f>IF(E94&gt;0,C94/E94,"")</f>
        <v/>
      </c>
      <c r="I94" s="20">
        <f>IF(F94&gt;0,C94/F94,"")</f>
        <v/>
      </c>
      <c r="J94" s="4" t="n"/>
      <c r="K94" s="4" t="n"/>
      <c r="L94" s="4" t="n"/>
    </row>
    <row r="95">
      <c r="A95" s="4" t="n"/>
      <c r="B95" s="4" t="n"/>
      <c r="C95" s="20" t="n"/>
      <c r="D95" s="4" t="n"/>
      <c r="E95" s="4" t="n"/>
      <c r="F95" s="4" t="n"/>
      <c r="G95" s="20">
        <f>IF(D95&gt;0,C95/D95,"")</f>
        <v/>
      </c>
      <c r="H95" s="20">
        <f>IF(E95&gt;0,C95/E95,"")</f>
        <v/>
      </c>
      <c r="I95" s="20">
        <f>IF(F95&gt;0,C95/F95,"")</f>
        <v/>
      </c>
      <c r="J95" s="4" t="n"/>
      <c r="K95" s="4" t="n"/>
      <c r="L95" s="4" t="n"/>
    </row>
    <row r="96">
      <c r="A96" s="4" t="n"/>
      <c r="B96" s="4" t="n"/>
      <c r="C96" s="20" t="n"/>
      <c r="D96" s="4" t="n"/>
      <c r="E96" s="4" t="n"/>
      <c r="F96" s="4" t="n"/>
      <c r="G96" s="20">
        <f>IF(D96&gt;0,C96/D96,"")</f>
        <v/>
      </c>
      <c r="H96" s="20">
        <f>IF(E96&gt;0,C96/E96,"")</f>
        <v/>
      </c>
      <c r="I96" s="20">
        <f>IF(F96&gt;0,C96/F96,"")</f>
        <v/>
      </c>
      <c r="J96" s="4" t="n"/>
      <c r="K96" s="4" t="n"/>
      <c r="L96" s="4" t="n"/>
    </row>
    <row r="97">
      <c r="A97" s="4" t="n"/>
      <c r="B97" s="4" t="n"/>
      <c r="C97" s="20" t="n"/>
      <c r="D97" s="4" t="n"/>
      <c r="E97" s="4" t="n"/>
      <c r="F97" s="4" t="n"/>
      <c r="G97" s="20">
        <f>IF(D97&gt;0,C97/D97,"")</f>
        <v/>
      </c>
      <c r="H97" s="20">
        <f>IF(E97&gt;0,C97/E97,"")</f>
        <v/>
      </c>
      <c r="I97" s="20">
        <f>IF(F97&gt;0,C97/F97,"")</f>
        <v/>
      </c>
      <c r="J97" s="4" t="n"/>
      <c r="K97" s="4" t="n"/>
      <c r="L97" s="4" t="n"/>
    </row>
    <row r="98">
      <c r="A98" s="4" t="n"/>
      <c r="B98" s="4" t="n"/>
      <c r="C98" s="20" t="n"/>
      <c r="D98" s="4" t="n"/>
      <c r="E98" s="4" t="n"/>
      <c r="F98" s="4" t="n"/>
      <c r="G98" s="20">
        <f>IF(D98&gt;0,C98/D98,"")</f>
        <v/>
      </c>
      <c r="H98" s="20">
        <f>IF(E98&gt;0,C98/E98,"")</f>
        <v/>
      </c>
      <c r="I98" s="20">
        <f>IF(F98&gt;0,C98/F98,"")</f>
        <v/>
      </c>
      <c r="J98" s="4" t="n"/>
      <c r="K98" s="4" t="n"/>
      <c r="L98" s="4" t="n"/>
    </row>
    <row r="99">
      <c r="A99" s="4" t="n"/>
      <c r="B99" s="4" t="n"/>
      <c r="C99" s="20" t="n"/>
      <c r="D99" s="4" t="n"/>
      <c r="E99" s="4" t="n"/>
      <c r="F99" s="4" t="n"/>
      <c r="G99" s="20">
        <f>IF(D99&gt;0,C99/D99,"")</f>
        <v/>
      </c>
      <c r="H99" s="20">
        <f>IF(E99&gt;0,C99/E99,"")</f>
        <v/>
      </c>
      <c r="I99" s="20">
        <f>IF(F99&gt;0,C99/F99,"")</f>
        <v/>
      </c>
      <c r="J99" s="4" t="n"/>
      <c r="K99" s="4" t="n"/>
      <c r="L99" s="4" t="n"/>
    </row>
    <row r="100">
      <c r="A100" s="4" t="n"/>
      <c r="B100" s="4" t="n"/>
      <c r="C100" s="20" t="n"/>
      <c r="D100" s="4" t="n"/>
      <c r="E100" s="4" t="n"/>
      <c r="F100" s="4" t="n"/>
      <c r="G100" s="20">
        <f>IF(D100&gt;0,C100/D100,"")</f>
        <v/>
      </c>
      <c r="H100" s="20">
        <f>IF(E100&gt;0,C100/E100,"")</f>
        <v/>
      </c>
      <c r="I100" s="20">
        <f>IF(F100&gt;0,C100/F100,"")</f>
        <v/>
      </c>
      <c r="J100" s="4" t="n"/>
      <c r="K100" s="4" t="n"/>
      <c r="L100" s="4" t="n"/>
    </row>
    <row r="101">
      <c r="A101" s="4" t="n"/>
      <c r="B101" s="4" t="n"/>
      <c r="C101" s="20" t="n"/>
      <c r="D101" s="4" t="n"/>
      <c r="E101" s="4" t="n"/>
      <c r="F101" s="4" t="n"/>
      <c r="G101" s="20">
        <f>IF(D101&gt;0,C101/D101,"")</f>
        <v/>
      </c>
      <c r="H101" s="20">
        <f>IF(E101&gt;0,C101/E101,"")</f>
        <v/>
      </c>
      <c r="I101" s="20">
        <f>IF(F101&gt;0,C101/F101,"")</f>
        <v/>
      </c>
      <c r="J101" s="4" t="n"/>
      <c r="K101" s="4" t="n"/>
      <c r="L101" s="4" t="n"/>
    </row>
    <row r="102">
      <c r="A102" s="4" t="n"/>
      <c r="B102" s="4" t="n"/>
      <c r="C102" s="20" t="n"/>
      <c r="D102" s="4" t="n"/>
      <c r="E102" s="4" t="n"/>
      <c r="F102" s="4" t="n"/>
      <c r="G102" s="20">
        <f>IF(D102&gt;0,C102/D102,"")</f>
        <v/>
      </c>
      <c r="H102" s="20">
        <f>IF(E102&gt;0,C102/E102,"")</f>
        <v/>
      </c>
      <c r="I102" s="20">
        <f>IF(F102&gt;0,C102/F102,"")</f>
        <v/>
      </c>
      <c r="J102" s="4" t="n"/>
      <c r="K102" s="4" t="n"/>
      <c r="L102" s="4" t="n"/>
    </row>
    <row r="103">
      <c r="A103" s="4" t="n"/>
      <c r="B103" s="4" t="n"/>
      <c r="C103" s="20" t="n"/>
      <c r="D103" s="4" t="n"/>
      <c r="E103" s="4" t="n"/>
      <c r="F103" s="4" t="n"/>
      <c r="G103" s="20">
        <f>IF(D103&gt;0,C103/D103,"")</f>
        <v/>
      </c>
      <c r="H103" s="20">
        <f>IF(E103&gt;0,C103/E103,"")</f>
        <v/>
      </c>
      <c r="I103" s="20">
        <f>IF(F103&gt;0,C103/F103,"")</f>
        <v/>
      </c>
      <c r="J103" s="4" t="n"/>
      <c r="K103" s="4" t="n"/>
      <c r="L103" s="4" t="n"/>
    </row>
  </sheetData>
  <dataValidations count="1">
    <dataValidation sqref="B5:B103" showDropDown="0" showInputMessage="0" showErrorMessage="0" allowBlank="1" type="list">
      <formula1>"сеть,партнёр,telegram-канал,авито-объявления,авито-реклама,лендинг,яндекс-бизнес,2гис,рекомендация клиента,яндекс-директ,другое"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8" customWidth="1" min="7" max="7"/>
    <col width="18" customWidth="1" min="8" max="8"/>
    <col width="14" customWidth="1" min="9" max="9"/>
  </cols>
  <sheetData>
    <row r="1">
      <c r="A1" s="1" t="inlineStr">
        <is>
          <t>План-факт по месяцам (план — из «Движение денег», факт — вносит М)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5" t="inlineStr">
        <is>
          <t>Месяц</t>
        </is>
      </c>
      <c r="B3" s="5" t="inlineStr">
        <is>
          <t>План: расходы</t>
        </is>
      </c>
      <c r="C3" s="5" t="inlineStr">
        <is>
          <t>Факт: расходы</t>
        </is>
      </c>
      <c r="D3" s="5" t="inlineStr">
        <is>
          <t>Отклонение</t>
        </is>
      </c>
      <c r="E3" s="5" t="inlineStr">
        <is>
          <t>План: броней</t>
        </is>
      </c>
      <c r="F3" s="5" t="inlineStr">
        <is>
          <t>Факт: броней</t>
        </is>
      </c>
      <c r="G3" s="5" t="inlineStr">
        <is>
          <t>План: поступления</t>
        </is>
      </c>
      <c r="H3" s="5" t="inlineStr">
        <is>
          <t>Факт: поступления</t>
        </is>
      </c>
      <c r="I3" s="5" t="inlineStr">
        <is>
          <t>Отклонение</t>
        </is>
      </c>
    </row>
    <row r="4">
      <c r="A4" s="2" t="inlineStr">
        <is>
          <t>М1</t>
        </is>
      </c>
      <c r="B4" s="16">
        <f>'Движение денег'!B7+'Движение денег'!B8</f>
        <v/>
      </c>
      <c r="C4" s="9" t="n"/>
      <c r="D4" s="20">
        <f>IF(C4="","",C4-B4)</f>
        <v/>
      </c>
      <c r="E4" s="24">
        <f>'Движение денег'!B10</f>
        <v/>
      </c>
      <c r="F4" s="25" t="n"/>
      <c r="G4" s="16">
        <f>'Движение денег'!B12</f>
        <v/>
      </c>
      <c r="H4" s="9" t="n"/>
      <c r="I4" s="20">
        <f>IF(H4="","",H4-G4)</f>
        <v/>
      </c>
    </row>
    <row r="5">
      <c r="A5" s="2" t="inlineStr">
        <is>
          <t>М2</t>
        </is>
      </c>
      <c r="B5" s="16">
        <f>'Движение денег'!C7+'Движение денег'!C8</f>
        <v/>
      </c>
      <c r="C5" s="9" t="n"/>
      <c r="D5" s="20">
        <f>IF(C5="","",C5-B5)</f>
        <v/>
      </c>
      <c r="E5" s="24">
        <f>'Движение денег'!C10</f>
        <v/>
      </c>
      <c r="F5" s="25" t="n"/>
      <c r="G5" s="16">
        <f>'Движение денег'!C12</f>
        <v/>
      </c>
      <c r="H5" s="9" t="n"/>
      <c r="I5" s="20">
        <f>IF(H5="","",H5-G5)</f>
        <v/>
      </c>
    </row>
    <row r="6">
      <c r="A6" s="2" t="inlineStr">
        <is>
          <t>М3</t>
        </is>
      </c>
      <c r="B6" s="16">
        <f>'Движение денег'!D7+'Движение денег'!D8</f>
        <v/>
      </c>
      <c r="C6" s="9" t="n"/>
      <c r="D6" s="20">
        <f>IF(C6="","",C6-B6)</f>
        <v/>
      </c>
      <c r="E6" s="24">
        <f>'Движение денег'!D10</f>
        <v/>
      </c>
      <c r="F6" s="25" t="n"/>
      <c r="G6" s="16">
        <f>'Движение денег'!D12</f>
        <v/>
      </c>
      <c r="H6" s="9" t="n"/>
      <c r="I6" s="20">
        <f>IF(H6="","",H6-G6)</f>
        <v/>
      </c>
    </row>
    <row r="7">
      <c r="A7" s="2" t="inlineStr">
        <is>
          <t>М4</t>
        </is>
      </c>
      <c r="B7" s="16">
        <f>'Движение денег'!E7+'Движение денег'!E8</f>
        <v/>
      </c>
      <c r="C7" s="9" t="n"/>
      <c r="D7" s="20">
        <f>IF(C7="","",C7-B7)</f>
        <v/>
      </c>
      <c r="E7" s="24">
        <f>'Движение денег'!E10</f>
        <v/>
      </c>
      <c r="F7" s="25" t="n"/>
      <c r="G7" s="16">
        <f>'Движение денег'!E12</f>
        <v/>
      </c>
      <c r="H7" s="9" t="n"/>
      <c r="I7" s="20">
        <f>IF(H7="","",H7-G7)</f>
        <v/>
      </c>
    </row>
    <row r="8">
      <c r="A8" s="2" t="inlineStr">
        <is>
          <t>М5</t>
        </is>
      </c>
      <c r="B8" s="16">
        <f>'Движение денег'!F7+'Движение денег'!F8</f>
        <v/>
      </c>
      <c r="C8" s="9" t="n"/>
      <c r="D8" s="20">
        <f>IF(C8="","",C8-B8)</f>
        <v/>
      </c>
      <c r="E8" s="24">
        <f>'Движение денег'!F10</f>
        <v/>
      </c>
      <c r="F8" s="25" t="n"/>
      <c r="G8" s="16">
        <f>'Движение денег'!F12</f>
        <v/>
      </c>
      <c r="H8" s="9" t="n"/>
      <c r="I8" s="20">
        <f>IF(H8="","",H8-G8)</f>
        <v/>
      </c>
    </row>
    <row r="9">
      <c r="A9" s="2" t="inlineStr">
        <is>
          <t>М6</t>
        </is>
      </c>
      <c r="B9" s="16">
        <f>'Движение денег'!G7+'Движение денег'!G8</f>
        <v/>
      </c>
      <c r="C9" s="9" t="n"/>
      <c r="D9" s="20">
        <f>IF(C9="","",C9-B9)</f>
        <v/>
      </c>
      <c r="E9" s="24">
        <f>'Движение денег'!G10</f>
        <v/>
      </c>
      <c r="F9" s="25" t="n"/>
      <c r="G9" s="16">
        <f>'Движение денег'!G12</f>
        <v/>
      </c>
      <c r="H9" s="9" t="n"/>
      <c r="I9" s="20">
        <f>IF(H9="","",H9-G9)</f>
        <v/>
      </c>
    </row>
    <row r="10">
      <c r="A10" s="2" t="inlineStr">
        <is>
          <t>М7</t>
        </is>
      </c>
      <c r="B10" s="16">
        <f>'Движение денег'!H7+'Движение денег'!H8</f>
        <v/>
      </c>
      <c r="C10" s="9" t="n"/>
      <c r="D10" s="20">
        <f>IF(C10="","",C10-B10)</f>
        <v/>
      </c>
      <c r="E10" s="24">
        <f>'Движение денег'!H10</f>
        <v/>
      </c>
      <c r="F10" s="25" t="n"/>
      <c r="G10" s="16">
        <f>'Движение денег'!H12</f>
        <v/>
      </c>
      <c r="H10" s="9" t="n"/>
      <c r="I10" s="20">
        <f>IF(H10="","",H10-G10)</f>
        <v/>
      </c>
    </row>
    <row r="11">
      <c r="A11" s="2" t="inlineStr">
        <is>
          <t>М8</t>
        </is>
      </c>
      <c r="B11" s="16">
        <f>'Движение денег'!I7+'Движение денег'!I8</f>
        <v/>
      </c>
      <c r="C11" s="9" t="n"/>
      <c r="D11" s="20">
        <f>IF(C11="","",C11-B11)</f>
        <v/>
      </c>
      <c r="E11" s="24">
        <f>'Движение денег'!I10</f>
        <v/>
      </c>
      <c r="F11" s="25" t="n"/>
      <c r="G11" s="16">
        <f>'Движение денег'!I12</f>
        <v/>
      </c>
      <c r="H11" s="9" t="n"/>
      <c r="I11" s="20">
        <f>IF(H11="","",H11-G11)</f>
        <v/>
      </c>
    </row>
    <row r="12">
      <c r="A12" s="2" t="inlineStr">
        <is>
          <t>М9</t>
        </is>
      </c>
      <c r="B12" s="16">
        <f>'Движение денег'!J7+'Движение денег'!J8</f>
        <v/>
      </c>
      <c r="C12" s="9" t="n"/>
      <c r="D12" s="20">
        <f>IF(C12="","",C12-B12)</f>
        <v/>
      </c>
      <c r="E12" s="24">
        <f>'Движение денег'!J10</f>
        <v/>
      </c>
      <c r="F12" s="25" t="n"/>
      <c r="G12" s="16">
        <f>'Движение денег'!J12</f>
        <v/>
      </c>
      <c r="H12" s="9" t="n"/>
      <c r="I12" s="20">
        <f>IF(H12="","",H12-G12)</f>
        <v/>
      </c>
    </row>
    <row r="13">
      <c r="A13" s="2" t="inlineStr">
        <is>
          <t>М10</t>
        </is>
      </c>
      <c r="B13" s="16">
        <f>'Движение денег'!K7+'Движение денег'!K8</f>
        <v/>
      </c>
      <c r="C13" s="9" t="n"/>
      <c r="D13" s="20">
        <f>IF(C13="","",C13-B13)</f>
        <v/>
      </c>
      <c r="E13" s="24">
        <f>'Движение денег'!K10</f>
        <v/>
      </c>
      <c r="F13" s="25" t="n"/>
      <c r="G13" s="16">
        <f>'Движение денег'!K12</f>
        <v/>
      </c>
      <c r="H13" s="9" t="n"/>
      <c r="I13" s="20">
        <f>IF(H13="","",H13-G13)</f>
        <v/>
      </c>
    </row>
    <row r="14">
      <c r="A14" s="2" t="inlineStr">
        <is>
          <t>М11</t>
        </is>
      </c>
      <c r="B14" s="16">
        <f>'Движение денег'!L7+'Движение денег'!L8</f>
        <v/>
      </c>
      <c r="C14" s="9" t="n"/>
      <c r="D14" s="20">
        <f>IF(C14="","",C14-B14)</f>
        <v/>
      </c>
      <c r="E14" s="24">
        <f>'Движение денег'!L10</f>
        <v/>
      </c>
      <c r="F14" s="25" t="n"/>
      <c r="G14" s="16">
        <f>'Движение денег'!L12</f>
        <v/>
      </c>
      <c r="H14" s="9" t="n"/>
      <c r="I14" s="20">
        <f>IF(H14="","",H14-G14)</f>
        <v/>
      </c>
    </row>
    <row r="15">
      <c r="A15" s="2" t="inlineStr">
        <is>
          <t>М12</t>
        </is>
      </c>
      <c r="B15" s="16">
        <f>'Движение денег'!M7+'Движение денег'!M8</f>
        <v/>
      </c>
      <c r="C15" s="9" t="n"/>
      <c r="D15" s="20">
        <f>IF(C15="","",C15-B15)</f>
        <v/>
      </c>
      <c r="E15" s="24">
        <f>'Движение денег'!M10</f>
        <v/>
      </c>
      <c r="F15" s="25" t="n"/>
      <c r="G15" s="16">
        <f>'Движение денег'!M12</f>
        <v/>
      </c>
      <c r="H15" s="9" t="n"/>
      <c r="I15" s="20">
        <f>IF(H15="","",H15-G15)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36" customWidth="1" min="3" max="3"/>
    <col width="12" customWidth="1" min="4" max="4"/>
    <col width="20" customWidth="1" min="5" max="5"/>
    <col width="12" customWidth="1" min="6" max="6"/>
  </cols>
  <sheetData>
    <row r="1">
      <c r="A1" s="1" t="inlineStr">
        <is>
          <t>Цифры, которые нужно заменить фактами</t>
        </is>
      </c>
      <c r="B1" s="4" t="n"/>
      <c r="C1" s="4" t="n"/>
      <c r="D1" s="4" t="n"/>
      <c r="E1" s="4" t="n"/>
      <c r="F1" s="4" t="n"/>
    </row>
    <row r="2">
      <c r="A2" s="4" t="n"/>
      <c r="B2" s="4" t="n"/>
      <c r="C2" s="4" t="n"/>
      <c r="D2" s="4" t="n"/>
      <c r="E2" s="4" t="n"/>
      <c r="F2" s="4" t="n"/>
    </row>
    <row r="3">
      <c r="A3" s="5" t="inlineStr">
        <is>
          <t>Цифра</t>
        </is>
      </c>
      <c r="B3" s="5" t="inlineStr">
        <is>
          <t>Где в модели</t>
        </is>
      </c>
      <c r="C3" s="5" t="inlineStr">
        <is>
          <t>Где взять факт</t>
        </is>
      </c>
      <c r="D3" s="5" t="inlineStr">
        <is>
          <t>Кто</t>
        </is>
      </c>
      <c r="E3" s="5" t="inlineStr">
        <is>
          <t>Когда (D)</t>
        </is>
      </c>
      <c r="F3" s="5" t="inlineStr">
        <is>
          <t>Решение J</t>
        </is>
      </c>
    </row>
    <row r="4">
      <c r="A4" s="2" t="inlineStr">
        <is>
          <t>% и сумма комиссии по застройщикам</t>
        </is>
      </c>
      <c r="B4" s="2" t="inlineStr">
        <is>
          <t>Вводные B4</t>
        </is>
      </c>
      <c r="C4" s="2" t="inlineStr">
        <is>
          <t>Кабинет TrendAgent, условия Flat</t>
        </is>
      </c>
      <c r="D4" s="2" t="inlineStr">
        <is>
          <t>М</t>
        </is>
      </c>
      <c r="E4" s="2" t="inlineStr">
        <is>
          <t>Этап 0 (0.5)</t>
        </is>
      </c>
      <c r="F4" s="2" t="inlineStr">
        <is>
          <t>J-05</t>
        </is>
      </c>
    </row>
    <row r="5">
      <c r="A5" s="2" t="inlineStr">
        <is>
          <t>Срок от брони до выплаты</t>
        </is>
      </c>
      <c r="B5" s="2" t="inlineStr">
        <is>
          <t>Вводные B8</t>
        </is>
      </c>
      <c r="C5" s="2" t="inlineStr">
        <is>
          <t>TrendAgent, Flat</t>
        </is>
      </c>
      <c r="D5" s="2" t="inlineStr">
        <is>
          <t>М</t>
        </is>
      </c>
      <c r="E5" s="2" t="inlineStr">
        <is>
          <t>Этап 0 (0.5)</t>
        </is>
      </c>
      <c r="F5" s="2" t="inlineStr">
        <is>
          <t>J-05</t>
        </is>
      </c>
    </row>
    <row r="6">
      <c r="A6" s="2" t="inlineStr">
        <is>
          <t>Налоговый режим и ставка ИП</t>
        </is>
      </c>
      <c r="B6" s="2" t="inlineStr">
        <is>
          <t>Вводные B5</t>
        </is>
      </c>
      <c r="C6" s="2" t="inlineStr">
        <is>
          <t>Бухгалтер, документы ИП</t>
        </is>
      </c>
      <c r="D6" s="2" t="inlineStr">
        <is>
          <t>М</t>
        </is>
      </c>
      <c r="E6" s="2" t="inlineStr">
        <is>
          <t>До первой комиссии</t>
        </is>
      </c>
      <c r="F6" s="2" t="inlineStr">
        <is>
          <t>J-10</t>
        </is>
      </c>
    </row>
    <row r="7">
      <c r="A7" s="2" t="inlineStr">
        <is>
          <t>Стоимость юриста-партнёра</t>
        </is>
      </c>
      <c r="B7" s="2" t="inlineStr">
        <is>
          <t>Вводные B6</t>
        </is>
      </c>
      <c r="C7" s="2" t="inlineStr">
        <is>
          <t>Предложение юриста</t>
        </is>
      </c>
      <c r="D7" s="2" t="inlineStr">
        <is>
          <t>М</t>
        </is>
      </c>
      <c r="E7" s="2" t="inlineStr">
        <is>
          <t>Этап 1 (1.3)</t>
        </is>
      </c>
      <c r="F7" s="2" t="inlineStr">
        <is>
          <t>J-09</t>
        </is>
      </c>
    </row>
    <row r="8">
      <c r="A8" s="2" t="inlineStr">
        <is>
          <t>Тариф Авито</t>
        </is>
      </c>
      <c r="B8" s="2" t="inlineStr">
        <is>
          <t>Вводные B16</t>
        </is>
      </c>
      <c r="C8" s="2" t="inlineStr">
        <is>
          <t>Кабинет Авито</t>
        </is>
      </c>
      <c r="D8" s="2" t="inlineStr">
        <is>
          <t>М</t>
        </is>
      </c>
      <c r="E8" s="2" t="inlineStr">
        <is>
          <t>Этап 1 (1.6)</t>
        </is>
      </c>
      <c r="F8" s="2" t="inlineStr">
        <is>
          <t>J-13</t>
        </is>
      </c>
    </row>
    <row r="9">
      <c r="A9" s="2" t="inlineStr">
        <is>
          <t>AI-подписки, связь, прочее</t>
        </is>
      </c>
      <c r="B9" s="2" t="inlineStr">
        <is>
          <t>Вводные B14, B15, B17</t>
        </is>
      </c>
      <c r="C9" s="2" t="inlineStr">
        <is>
          <t>Банковская выписка</t>
        </is>
      </c>
      <c r="D9" s="2" t="inlineStr">
        <is>
          <t>М</t>
        </is>
      </c>
      <c r="E9" s="2" t="inlineStr">
        <is>
          <t>Неделя 1</t>
        </is>
      </c>
      <c r="F9" s="2" t="inlineStr">
        <is>
          <t>—</t>
        </is>
      </c>
    </row>
    <row r="10">
      <c r="A10" s="2" t="inlineStr">
        <is>
          <t>Квал. лиды из бесплатных каналов</t>
        </is>
      </c>
      <c r="B10" s="2" t="inlineStr">
        <is>
          <t>Вводные B22:D22</t>
        </is>
      </c>
      <c r="C10" s="2" t="inlineStr">
        <is>
          <t>CRM, лист «Каналы»</t>
        </is>
      </c>
      <c r="D10" s="2" t="inlineStr">
        <is>
          <t>М</t>
        </is>
      </c>
      <c r="E10" s="2" t="inlineStr">
        <is>
          <t>После 2 месяцев</t>
        </is>
      </c>
      <c r="F10" s="2" t="inlineStr">
        <is>
          <t>—</t>
        </is>
      </c>
    </row>
    <row r="11">
      <c r="A11" s="2" t="inlineStr">
        <is>
          <t>Стоимость квал. лида (платный)</t>
        </is>
      </c>
      <c r="B11" s="2" t="inlineStr">
        <is>
          <t>Вводные B23:D23</t>
        </is>
      </c>
      <c r="C11" s="2" t="inlineStr">
        <is>
          <t>Тест Авито Рекламы</t>
        </is>
      </c>
      <c r="D11" s="2" t="inlineStr">
        <is>
          <t>Рынок + М</t>
        </is>
      </c>
      <c r="E11" s="2" t="inlineStr">
        <is>
          <t>Этап 2 (2.5)</t>
        </is>
      </c>
      <c r="F11" s="2" t="inlineStr">
        <is>
          <t>J-03</t>
        </is>
      </c>
    </row>
    <row r="12">
      <c r="A12" s="2" t="inlineStr">
        <is>
          <t>Конверсии до диагностики и сделки</t>
        </is>
      </c>
      <c r="B12" s="2" t="inlineStr">
        <is>
          <t>Вводные B24:D25</t>
        </is>
      </c>
      <c r="C12" s="2" t="inlineStr">
        <is>
          <t>CRM после 20 лидов</t>
        </is>
      </c>
      <c r="D12" s="2" t="inlineStr">
        <is>
          <t>М</t>
        </is>
      </c>
      <c r="E12" s="2" t="inlineStr">
        <is>
          <t>Этап 3 (3.4)</t>
        </is>
      </c>
      <c r="F12" s="2" t="inlineStr">
        <is>
          <t>—</t>
        </is>
      </c>
    </row>
    <row r="13">
      <c r="A13" s="2" t="inlineStr">
        <is>
          <t>Лимит тестов и порог доли маркетинга</t>
        </is>
      </c>
      <c r="B13" s="2" t="inlineStr">
        <is>
          <t>Вводные B10; Экономика B16</t>
        </is>
      </c>
      <c r="C13" s="2" t="inlineStr">
        <is>
          <t>Решение М</t>
        </is>
      </c>
      <c r="D13" s="2" t="inlineStr">
        <is>
          <t>М</t>
        </is>
      </c>
      <c r="E13" s="2" t="inlineStr">
        <is>
          <t>Этап 0 (0.1)</t>
        </is>
      </c>
      <c r="F13" s="2" t="inlineStr">
        <is>
          <t>J-03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2026-09-26T13:18:56Z</dcterms:created>
  <dcterms:modified xsi:type="dcterms:W3CDTF">2026-09-26T13:18:56Z</dcterms:modified>
</cp:coreProperties>
</file>